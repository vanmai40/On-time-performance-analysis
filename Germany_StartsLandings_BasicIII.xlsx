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Google Drive\AAAvima 18 - WIT Wildau\Statistic methods\"/>
    </mc:Choice>
  </mc:AlternateContent>
  <bookViews>
    <workbookView xWindow="0" yWindow="0" windowWidth="20490" windowHeight="7800" firstSheet="2" activeTab="6"/>
  </bookViews>
  <sheets>
    <sheet name="Deutschland total" sheetId="2" r:id="rId1"/>
    <sheet name="Starts per Airport" sheetId="3" r:id="rId2"/>
    <sheet name="46421-0002" sheetId="1" r:id="rId3"/>
    <sheet name="Regression" sheetId="4" r:id="rId4"/>
    <sheet name="OFOD-Data" sheetId="10" r:id="rId5"/>
    <sheet name="Portfolio" sheetId="6" r:id="rId6"/>
    <sheet name="TimeSeriesAnalysis" sheetId="8" r:id="rId7"/>
  </sheets>
  <definedNames>
    <definedName name="_xlnm._FilterDatabase" localSheetId="0" hidden="1">'Deutschland total'!$A$7:$C$230</definedName>
    <definedName name="_xlnm.Print_Titles" localSheetId="2">'46421-0002'!$A:$A,'46421-0002'!$1:$7</definedName>
    <definedName name="_xlnm.Print_Titles" localSheetId="0">'Deutschland total'!$A:$A,'Deutschland total'!$1:$7</definedName>
    <definedName name="_xlnm.Print_Titles" localSheetId="5">Portfolio!$A:$A,Portfolio!$1:$1</definedName>
    <definedName name="_xlnm.Print_Titles" localSheetId="1">'Starts per Airport'!$A:$A,'Starts per Airport'!$1:$7</definedName>
    <definedName name="_xlnm.Print_Titles" localSheetId="6">TimeSeriesAnalysis!$B:$B,TimeSeriesAnalysis!$1:$2</definedName>
    <definedName name="solver_adj" localSheetId="5" hidden="1">Portfolio!$I$61:$L$61</definedName>
    <definedName name="solver_cvg" localSheetId="5" hidden="1">0.0001</definedName>
    <definedName name="solver_drv" localSheetId="5" hidden="1">2</definedName>
    <definedName name="solver_eng" localSheetId="5" hidden="1">1</definedName>
    <definedName name="solver_est" localSheetId="5" hidden="1">1</definedName>
    <definedName name="solver_itr" localSheetId="5" hidden="1">2147483647</definedName>
    <definedName name="solver_lhs1" localSheetId="5" hidden="1">Portfolio!$M$61</definedName>
    <definedName name="solver_lhs2" localSheetId="5" hidden="1">Portfolio!$N$61</definedName>
    <definedName name="solver_lhs3" localSheetId="5" hidden="1">Portfolio!$N$61</definedName>
    <definedName name="solver_mip" localSheetId="5" hidden="1">2147483647</definedName>
    <definedName name="solver_mni" localSheetId="5" hidden="1">30</definedName>
    <definedName name="solver_mrt" localSheetId="5" hidden="1">0.075</definedName>
    <definedName name="solver_msl" localSheetId="5" hidden="1">2</definedName>
    <definedName name="solver_neg" localSheetId="5" hidden="1">1</definedName>
    <definedName name="solver_nod" localSheetId="5" hidden="1">2147483647</definedName>
    <definedName name="solver_num" localSheetId="5" hidden="1">2</definedName>
    <definedName name="solver_nwt" localSheetId="5" hidden="1">1</definedName>
    <definedName name="solver_opt" localSheetId="5" hidden="1">Portfolio!$O$61</definedName>
    <definedName name="solver_pre" localSheetId="5" hidden="1">0.000001</definedName>
    <definedName name="solver_rbv" localSheetId="5" hidden="1">2</definedName>
    <definedName name="solver_rel1" localSheetId="5" hidden="1">1</definedName>
    <definedName name="solver_rel2" localSheetId="5" hidden="1">1</definedName>
    <definedName name="solver_rel3" localSheetId="5" hidden="1">1</definedName>
    <definedName name="solver_rhs1" localSheetId="5" hidden="1">1</definedName>
    <definedName name="solver_rhs2" localSheetId="5" hidden="1">500000000</definedName>
    <definedName name="solver_rhs3" localSheetId="5" hidden="1">500000000</definedName>
    <definedName name="solver_rlx" localSheetId="5" hidden="1">2</definedName>
    <definedName name="solver_rsd" localSheetId="5" hidden="1">0</definedName>
    <definedName name="solver_scl" localSheetId="5" hidden="1">2</definedName>
    <definedName name="solver_sho" localSheetId="5" hidden="1">2</definedName>
    <definedName name="solver_ssz" localSheetId="5" hidden="1">100</definedName>
    <definedName name="solver_tim" localSheetId="5" hidden="1">2147483647</definedName>
    <definedName name="solver_tol" localSheetId="5" hidden="1">0.01</definedName>
    <definedName name="solver_typ" localSheetId="5" hidden="1">1</definedName>
    <definedName name="solver_val" localSheetId="5" hidden="1">0</definedName>
    <definedName name="solver_ver" localSheetId="5" hidden="1">3</definedName>
  </definedNames>
  <calcPr calcId="162913"/>
</workbook>
</file>

<file path=xl/calcChain.xml><?xml version="1.0" encoding="utf-8"?>
<calcChain xmlns="http://schemas.openxmlformats.org/spreadsheetml/2006/main">
  <c r="N4" i="8" l="1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3" i="8"/>
  <c r="M30" i="8" l="1"/>
  <c r="M46" i="8"/>
  <c r="M62" i="8"/>
  <c r="M78" i="8"/>
  <c r="J4" i="8"/>
  <c r="K4" i="8" s="1"/>
  <c r="J5" i="8"/>
  <c r="K5" i="8" s="1"/>
  <c r="J6" i="8"/>
  <c r="M6" i="8" s="1"/>
  <c r="J7" i="8"/>
  <c r="M7" i="8" s="1"/>
  <c r="J8" i="8"/>
  <c r="K8" i="8" s="1"/>
  <c r="J9" i="8"/>
  <c r="K9" i="8" s="1"/>
  <c r="J10" i="8"/>
  <c r="K10" i="8" s="1"/>
  <c r="J11" i="8"/>
  <c r="K11" i="8" s="1"/>
  <c r="J12" i="8"/>
  <c r="M12" i="8" s="1"/>
  <c r="J13" i="8"/>
  <c r="K13" i="8" s="1"/>
  <c r="J14" i="8"/>
  <c r="K14" i="8" s="1"/>
  <c r="P18" i="8" s="1"/>
  <c r="J15" i="8"/>
  <c r="K15" i="8" s="1"/>
  <c r="J16" i="8"/>
  <c r="K16" i="8" s="1"/>
  <c r="J17" i="8"/>
  <c r="K17" i="8" s="1"/>
  <c r="J18" i="8"/>
  <c r="K18" i="8" s="1"/>
  <c r="J19" i="8"/>
  <c r="K19" i="8" s="1"/>
  <c r="J20" i="8"/>
  <c r="M20" i="8" s="1"/>
  <c r="J21" i="8"/>
  <c r="K21" i="8" s="1"/>
  <c r="J22" i="8"/>
  <c r="K22" i="8" s="1"/>
  <c r="J23" i="8"/>
  <c r="K23" i="8" s="1"/>
  <c r="J24" i="8"/>
  <c r="M24" i="8" s="1"/>
  <c r="J25" i="8"/>
  <c r="K25" i="8" s="1"/>
  <c r="J26" i="8"/>
  <c r="K26" i="8" s="1"/>
  <c r="J27" i="8"/>
  <c r="K27" i="8" s="1"/>
  <c r="J28" i="8"/>
  <c r="M28" i="8" s="1"/>
  <c r="J29" i="8"/>
  <c r="K29" i="8" s="1"/>
  <c r="J30" i="8"/>
  <c r="K30" i="8" s="1"/>
  <c r="J31" i="8"/>
  <c r="K31" i="8" s="1"/>
  <c r="J32" i="8"/>
  <c r="K32" i="8" s="1"/>
  <c r="J33" i="8"/>
  <c r="K33" i="8" s="1"/>
  <c r="J34" i="8"/>
  <c r="K34" i="8" s="1"/>
  <c r="J35" i="8"/>
  <c r="K35" i="8" s="1"/>
  <c r="J36" i="8"/>
  <c r="M36" i="8" s="1"/>
  <c r="J37" i="8"/>
  <c r="K37" i="8" s="1"/>
  <c r="J38" i="8"/>
  <c r="K38" i="8" s="1"/>
  <c r="J39" i="8"/>
  <c r="K39" i="8" s="1"/>
  <c r="J40" i="8"/>
  <c r="M40" i="8" s="1"/>
  <c r="J41" i="8"/>
  <c r="K41" i="8" s="1"/>
  <c r="J42" i="8"/>
  <c r="K42" i="8" s="1"/>
  <c r="J43" i="8"/>
  <c r="K43" i="8" s="1"/>
  <c r="J44" i="8"/>
  <c r="M44" i="8" s="1"/>
  <c r="J45" i="8"/>
  <c r="K45" i="8" s="1"/>
  <c r="J46" i="8"/>
  <c r="K46" i="8" s="1"/>
  <c r="J47" i="8"/>
  <c r="K47" i="8" s="1"/>
  <c r="J48" i="8"/>
  <c r="K48" i="8" s="1"/>
  <c r="J49" i="8"/>
  <c r="K49" i="8" s="1"/>
  <c r="J50" i="8"/>
  <c r="K50" i="8" s="1"/>
  <c r="J51" i="8"/>
  <c r="K51" i="8" s="1"/>
  <c r="J52" i="8"/>
  <c r="M52" i="8" s="1"/>
  <c r="J53" i="8"/>
  <c r="K53" i="8" s="1"/>
  <c r="J54" i="8"/>
  <c r="K54" i="8" s="1"/>
  <c r="J55" i="8"/>
  <c r="K55" i="8" s="1"/>
  <c r="J56" i="8"/>
  <c r="M56" i="8" s="1"/>
  <c r="J57" i="8"/>
  <c r="K57" i="8" s="1"/>
  <c r="J58" i="8"/>
  <c r="K58" i="8" s="1"/>
  <c r="J59" i="8"/>
  <c r="K59" i="8" s="1"/>
  <c r="J60" i="8"/>
  <c r="M60" i="8" s="1"/>
  <c r="J61" i="8"/>
  <c r="K61" i="8" s="1"/>
  <c r="J62" i="8"/>
  <c r="K62" i="8" s="1"/>
  <c r="J63" i="8"/>
  <c r="K63" i="8" s="1"/>
  <c r="J64" i="8"/>
  <c r="K64" i="8" s="1"/>
  <c r="J65" i="8"/>
  <c r="K65" i="8" s="1"/>
  <c r="J66" i="8"/>
  <c r="K66" i="8" s="1"/>
  <c r="J67" i="8"/>
  <c r="K67" i="8" s="1"/>
  <c r="J68" i="8"/>
  <c r="M68" i="8" s="1"/>
  <c r="J69" i="8"/>
  <c r="K69" i="8" s="1"/>
  <c r="J70" i="8"/>
  <c r="K70" i="8" s="1"/>
  <c r="J71" i="8"/>
  <c r="K71" i="8" s="1"/>
  <c r="J72" i="8"/>
  <c r="M72" i="8" s="1"/>
  <c r="J73" i="8"/>
  <c r="K73" i="8" s="1"/>
  <c r="J74" i="8"/>
  <c r="K74" i="8" s="1"/>
  <c r="J75" i="8"/>
  <c r="K75" i="8" s="1"/>
  <c r="J76" i="8"/>
  <c r="M76" i="8" s="1"/>
  <c r="J77" i="8"/>
  <c r="K77" i="8" s="1"/>
  <c r="J78" i="8"/>
  <c r="K78" i="8" s="1"/>
  <c r="J79" i="8"/>
  <c r="K79" i="8" s="1"/>
  <c r="J80" i="8"/>
  <c r="K80" i="8" s="1"/>
  <c r="J81" i="8"/>
  <c r="K81" i="8" s="1"/>
  <c r="J82" i="8"/>
  <c r="K82" i="8" s="1"/>
  <c r="J83" i="8"/>
  <c r="K83" i="8" s="1"/>
  <c r="J84" i="8"/>
  <c r="M84" i="8" s="1"/>
  <c r="J85" i="8"/>
  <c r="K85" i="8" s="1"/>
  <c r="J3" i="8"/>
  <c r="K3" i="8" s="1"/>
  <c r="P7" i="8" s="1"/>
  <c r="K44" i="8" l="1"/>
  <c r="P15" i="8"/>
  <c r="K7" i="8"/>
  <c r="P11" i="8" s="1"/>
  <c r="K28" i="8"/>
  <c r="M8" i="8"/>
  <c r="M74" i="8"/>
  <c r="M58" i="8"/>
  <c r="M42" i="8"/>
  <c r="M26" i="8"/>
  <c r="P14" i="8"/>
  <c r="K76" i="8"/>
  <c r="K12" i="8"/>
  <c r="M4" i="8"/>
  <c r="M70" i="8"/>
  <c r="M54" i="8"/>
  <c r="M38" i="8"/>
  <c r="M22" i="8"/>
  <c r="P17" i="8"/>
  <c r="P13" i="8"/>
  <c r="P9" i="8"/>
  <c r="K60" i="8"/>
  <c r="M82" i="8"/>
  <c r="M66" i="8"/>
  <c r="M50" i="8"/>
  <c r="M34" i="8"/>
  <c r="M18" i="8"/>
  <c r="K6" i="8"/>
  <c r="P10" i="8" s="1"/>
  <c r="K72" i="8"/>
  <c r="K56" i="8"/>
  <c r="K40" i="8"/>
  <c r="K24" i="8"/>
  <c r="M3" i="8"/>
  <c r="M11" i="8"/>
  <c r="M85" i="8"/>
  <c r="M81" i="8"/>
  <c r="M77" i="8"/>
  <c r="M73" i="8"/>
  <c r="M69" i="8"/>
  <c r="M65" i="8"/>
  <c r="M61" i="8"/>
  <c r="M57" i="8"/>
  <c r="M53" i="8"/>
  <c r="M49" i="8"/>
  <c r="M45" i="8"/>
  <c r="M41" i="8"/>
  <c r="M37" i="8"/>
  <c r="M33" i="8"/>
  <c r="M29" i="8"/>
  <c r="M25" i="8"/>
  <c r="M21" i="8"/>
  <c r="M17" i="8"/>
  <c r="K84" i="8"/>
  <c r="K68" i="8"/>
  <c r="K52" i="8"/>
  <c r="K36" i="8"/>
  <c r="K20" i="8"/>
  <c r="P12" i="8" s="1"/>
  <c r="M14" i="8"/>
  <c r="M10" i="8"/>
  <c r="M80" i="8"/>
  <c r="M64" i="8"/>
  <c r="M48" i="8"/>
  <c r="M32" i="8"/>
  <c r="M16" i="8"/>
  <c r="M13" i="8"/>
  <c r="M9" i="8"/>
  <c r="M5" i="8"/>
  <c r="M83" i="8"/>
  <c r="M79" i="8"/>
  <c r="M75" i="8"/>
  <c r="M71" i="8"/>
  <c r="M67" i="8"/>
  <c r="M63" i="8"/>
  <c r="M59" i="8"/>
  <c r="M55" i="8"/>
  <c r="M51" i="8"/>
  <c r="M47" i="8"/>
  <c r="M43" i="8"/>
  <c r="M39" i="8"/>
  <c r="M35" i="8"/>
  <c r="M31" i="8"/>
  <c r="M27" i="8"/>
  <c r="M23" i="8"/>
  <c r="M19" i="8"/>
  <c r="M15" i="8"/>
  <c r="F85" i="8"/>
  <c r="I85" i="8" s="1"/>
  <c r="F84" i="8"/>
  <c r="G84" i="8" s="1"/>
  <c r="F83" i="8"/>
  <c r="I83" i="8" s="1"/>
  <c r="F82" i="8"/>
  <c r="I82" i="8" s="1"/>
  <c r="F81" i="8"/>
  <c r="I81" i="8" s="1"/>
  <c r="F80" i="8"/>
  <c r="G80" i="8" s="1"/>
  <c r="F79" i="8"/>
  <c r="I79" i="8" s="1"/>
  <c r="F78" i="8"/>
  <c r="G78" i="8" s="1"/>
  <c r="F77" i="8"/>
  <c r="I77" i="8" s="1"/>
  <c r="F76" i="8"/>
  <c r="G76" i="8" s="1"/>
  <c r="F75" i="8"/>
  <c r="I75" i="8" s="1"/>
  <c r="F74" i="8"/>
  <c r="I74" i="8" s="1"/>
  <c r="F73" i="8"/>
  <c r="I73" i="8" s="1"/>
  <c r="F72" i="8"/>
  <c r="G72" i="8" s="1"/>
  <c r="G71" i="8"/>
  <c r="F71" i="8"/>
  <c r="I71" i="8" s="1"/>
  <c r="F70" i="8"/>
  <c r="I70" i="8" s="1"/>
  <c r="F69" i="8"/>
  <c r="I69" i="8" s="1"/>
  <c r="F68" i="8"/>
  <c r="G68" i="8" s="1"/>
  <c r="F67" i="8"/>
  <c r="I67" i="8" s="1"/>
  <c r="F66" i="8"/>
  <c r="I66" i="8" s="1"/>
  <c r="F65" i="8"/>
  <c r="I65" i="8" s="1"/>
  <c r="F64" i="8"/>
  <c r="G64" i="8" s="1"/>
  <c r="F63" i="8"/>
  <c r="I63" i="8" s="1"/>
  <c r="F62" i="8"/>
  <c r="I62" i="8" s="1"/>
  <c r="F61" i="8"/>
  <c r="I61" i="8" s="1"/>
  <c r="F60" i="8"/>
  <c r="G60" i="8" s="1"/>
  <c r="F59" i="8"/>
  <c r="I59" i="8" s="1"/>
  <c r="F58" i="8"/>
  <c r="I58" i="8" s="1"/>
  <c r="F57" i="8"/>
  <c r="I57" i="8" s="1"/>
  <c r="F56" i="8"/>
  <c r="G56" i="8" s="1"/>
  <c r="F55" i="8"/>
  <c r="I55" i="8" s="1"/>
  <c r="F54" i="8"/>
  <c r="G54" i="8" s="1"/>
  <c r="F53" i="8"/>
  <c r="I53" i="8" s="1"/>
  <c r="F52" i="8"/>
  <c r="G52" i="8" s="1"/>
  <c r="F51" i="8"/>
  <c r="I51" i="8" s="1"/>
  <c r="F50" i="8"/>
  <c r="I50" i="8" s="1"/>
  <c r="F49" i="8"/>
  <c r="I49" i="8" s="1"/>
  <c r="F48" i="8"/>
  <c r="G48" i="8" s="1"/>
  <c r="F47" i="8"/>
  <c r="I47" i="8" s="1"/>
  <c r="F46" i="8"/>
  <c r="G46" i="8" s="1"/>
  <c r="F45" i="8"/>
  <c r="I45" i="8" s="1"/>
  <c r="F44" i="8"/>
  <c r="G44" i="8" s="1"/>
  <c r="F43" i="8"/>
  <c r="I43" i="8" s="1"/>
  <c r="F42" i="8"/>
  <c r="I42" i="8" s="1"/>
  <c r="F41" i="8"/>
  <c r="I41" i="8" s="1"/>
  <c r="F40" i="8"/>
  <c r="G40" i="8" s="1"/>
  <c r="F39" i="8"/>
  <c r="I39" i="8" s="1"/>
  <c r="F38" i="8"/>
  <c r="G38" i="8" s="1"/>
  <c r="F37" i="8"/>
  <c r="I37" i="8" s="1"/>
  <c r="F36" i="8"/>
  <c r="G36" i="8" s="1"/>
  <c r="F35" i="8"/>
  <c r="I35" i="8" s="1"/>
  <c r="F34" i="8"/>
  <c r="I34" i="8" s="1"/>
  <c r="F33" i="8"/>
  <c r="I33" i="8" s="1"/>
  <c r="F32" i="8"/>
  <c r="G32" i="8" s="1"/>
  <c r="F31" i="8"/>
  <c r="I31" i="8" s="1"/>
  <c r="F30" i="8"/>
  <c r="G30" i="8" s="1"/>
  <c r="F29" i="8"/>
  <c r="I29" i="8" s="1"/>
  <c r="F28" i="8"/>
  <c r="G28" i="8" s="1"/>
  <c r="F27" i="8"/>
  <c r="I27" i="8" s="1"/>
  <c r="F26" i="8"/>
  <c r="I26" i="8" s="1"/>
  <c r="F25" i="8"/>
  <c r="I25" i="8" s="1"/>
  <c r="F24" i="8"/>
  <c r="G24" i="8" s="1"/>
  <c r="F23" i="8"/>
  <c r="I23" i="8" s="1"/>
  <c r="F22" i="8"/>
  <c r="G22" i="8" s="1"/>
  <c r="F21" i="8"/>
  <c r="I21" i="8" s="1"/>
  <c r="F20" i="8"/>
  <c r="G20" i="8" s="1"/>
  <c r="F19" i="8"/>
  <c r="I19" i="8" s="1"/>
  <c r="F18" i="8"/>
  <c r="I18" i="8" s="1"/>
  <c r="F17" i="8"/>
  <c r="I17" i="8" s="1"/>
  <c r="F16" i="8"/>
  <c r="I16" i="8" s="1"/>
  <c r="F15" i="8"/>
  <c r="I15" i="8" s="1"/>
  <c r="F14" i="8"/>
  <c r="I14" i="8" s="1"/>
  <c r="F13" i="8"/>
  <c r="I13" i="8" s="1"/>
  <c r="F12" i="8"/>
  <c r="I12" i="8" s="1"/>
  <c r="F11" i="8"/>
  <c r="G11" i="8" s="1"/>
  <c r="F10" i="8"/>
  <c r="I10" i="8" s="1"/>
  <c r="F9" i="8"/>
  <c r="I9" i="8" s="1"/>
  <c r="F8" i="8"/>
  <c r="I8" i="8" s="1"/>
  <c r="F7" i="8"/>
  <c r="G7" i="8" s="1"/>
  <c r="F6" i="8"/>
  <c r="I6" i="8" s="1"/>
  <c r="F5" i="8"/>
  <c r="I5" i="8" s="1"/>
  <c r="F4" i="8"/>
  <c r="I4" i="8" s="1"/>
  <c r="F3" i="8"/>
  <c r="I3" i="8" s="1"/>
  <c r="I32" i="8" l="1"/>
  <c r="G35" i="8"/>
  <c r="G79" i="8"/>
  <c r="P16" i="8"/>
  <c r="P8" i="8"/>
  <c r="I56" i="8"/>
  <c r="G59" i="8"/>
  <c r="G39" i="8"/>
  <c r="I24" i="8"/>
  <c r="G27" i="8"/>
  <c r="G47" i="8"/>
  <c r="I64" i="8"/>
  <c r="G67" i="8"/>
  <c r="G19" i="8"/>
  <c r="G31" i="8"/>
  <c r="I48" i="8"/>
  <c r="G51" i="8"/>
  <c r="G63" i="8"/>
  <c r="I80" i="8"/>
  <c r="G83" i="8"/>
  <c r="G23" i="8"/>
  <c r="I40" i="8"/>
  <c r="G43" i="8"/>
  <c r="G55" i="8"/>
  <c r="I72" i="8"/>
  <c r="G75" i="8"/>
  <c r="I20" i="8"/>
  <c r="G29" i="8"/>
  <c r="I36" i="8"/>
  <c r="G45" i="8"/>
  <c r="I52" i="8"/>
  <c r="G61" i="8"/>
  <c r="I68" i="8"/>
  <c r="G77" i="8"/>
  <c r="I84" i="8"/>
  <c r="G4" i="8"/>
  <c r="G3" i="8"/>
  <c r="G21" i="8"/>
  <c r="I28" i="8"/>
  <c r="G37" i="8"/>
  <c r="I44" i="8"/>
  <c r="G53" i="8"/>
  <c r="I60" i="8"/>
  <c r="G69" i="8"/>
  <c r="I76" i="8"/>
  <c r="G85" i="8"/>
  <c r="G15" i="8"/>
  <c r="G62" i="8"/>
  <c r="G70" i="8"/>
  <c r="I7" i="8"/>
  <c r="I11" i="8"/>
  <c r="I22" i="8"/>
  <c r="G25" i="8"/>
  <c r="I30" i="8"/>
  <c r="G33" i="8"/>
  <c r="I38" i="8"/>
  <c r="G41" i="8"/>
  <c r="I46" i="8"/>
  <c r="G49" i="8"/>
  <c r="I54" i="8"/>
  <c r="G57" i="8"/>
  <c r="G65" i="8"/>
  <c r="G73" i="8"/>
  <c r="I78" i="8"/>
  <c r="G81" i="8"/>
  <c r="G9" i="8"/>
  <c r="G13" i="8"/>
  <c r="G17" i="8"/>
  <c r="G5" i="8"/>
  <c r="G6" i="8"/>
  <c r="G8" i="8"/>
  <c r="G10" i="8"/>
  <c r="G12" i="8"/>
  <c r="G14" i="8"/>
  <c r="G16" i="8"/>
  <c r="G18" i="8"/>
  <c r="G26" i="8"/>
  <c r="G34" i="8"/>
  <c r="G42" i="8"/>
  <c r="G50" i="8"/>
  <c r="G58" i="8"/>
  <c r="G66" i="8"/>
  <c r="G74" i="8"/>
  <c r="G82" i="8"/>
  <c r="M61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R11" i="6"/>
  <c r="Q11" i="6"/>
  <c r="P11" i="6"/>
  <c r="O11" i="6"/>
  <c r="L11" i="6"/>
  <c r="K11" i="6"/>
  <c r="J11" i="6"/>
  <c r="I11" i="6"/>
  <c r="R10" i="6"/>
  <c r="Q10" i="6"/>
  <c r="P10" i="6"/>
  <c r="O10" i="6"/>
  <c r="L10" i="6"/>
  <c r="K10" i="6"/>
  <c r="J10" i="6"/>
  <c r="I10" i="6"/>
  <c r="R9" i="6"/>
  <c r="Q9" i="6"/>
  <c r="P9" i="6"/>
  <c r="O9" i="6"/>
  <c r="L9" i="6"/>
  <c r="K9" i="6"/>
  <c r="J9" i="6"/>
  <c r="I9" i="6"/>
  <c r="R8" i="6"/>
  <c r="Q8" i="6"/>
  <c r="P8" i="6"/>
  <c r="O8" i="6"/>
  <c r="L8" i="6"/>
  <c r="K8" i="6"/>
  <c r="J8" i="6"/>
  <c r="I8" i="6"/>
  <c r="L4" i="6"/>
  <c r="K4" i="6"/>
  <c r="J4" i="6"/>
  <c r="I4" i="6"/>
  <c r="O61" i="6" l="1"/>
  <c r="N56" i="6"/>
  <c r="N53" i="6"/>
  <c r="N32" i="6"/>
  <c r="N48" i="6"/>
  <c r="N19" i="6"/>
  <c r="O24" i="6"/>
  <c r="N27" i="6"/>
  <c r="O32" i="6"/>
  <c r="N35" i="6"/>
  <c r="O40" i="6"/>
  <c r="N43" i="6"/>
  <c r="O48" i="6"/>
  <c r="N51" i="6"/>
  <c r="O56" i="6"/>
  <c r="N24" i="6"/>
  <c r="O37" i="6"/>
  <c r="O53" i="6"/>
  <c r="O19" i="6"/>
  <c r="N22" i="6"/>
  <c r="O27" i="6"/>
  <c r="N30" i="6"/>
  <c r="O35" i="6"/>
  <c r="N38" i="6"/>
  <c r="O43" i="6"/>
  <c r="N46" i="6"/>
  <c r="O51" i="6"/>
  <c r="N54" i="6"/>
  <c r="O21" i="6"/>
  <c r="N40" i="6"/>
  <c r="N17" i="6"/>
  <c r="O22" i="6"/>
  <c r="N25" i="6"/>
  <c r="O30" i="6"/>
  <c r="N33" i="6"/>
  <c r="O38" i="6"/>
  <c r="N41" i="6"/>
  <c r="O46" i="6"/>
  <c r="N49" i="6"/>
  <c r="O54" i="6"/>
  <c r="N57" i="6"/>
  <c r="O17" i="6"/>
  <c r="N20" i="6"/>
  <c r="O25" i="6"/>
  <c r="N28" i="6"/>
  <c r="O33" i="6"/>
  <c r="N36" i="6"/>
  <c r="O41" i="6"/>
  <c r="N44" i="6"/>
  <c r="O49" i="6"/>
  <c r="N52" i="6"/>
  <c r="O57" i="6"/>
  <c r="O29" i="6"/>
  <c r="O45" i="6"/>
  <c r="O20" i="6"/>
  <c r="N23" i="6"/>
  <c r="O28" i="6"/>
  <c r="N31" i="6"/>
  <c r="O36" i="6"/>
  <c r="N39" i="6"/>
  <c r="O44" i="6"/>
  <c r="N47" i="6"/>
  <c r="O52" i="6"/>
  <c r="N55" i="6"/>
  <c r="N18" i="6"/>
  <c r="O23" i="6"/>
  <c r="N26" i="6"/>
  <c r="O31" i="6"/>
  <c r="N34" i="6"/>
  <c r="O39" i="6"/>
  <c r="N42" i="6"/>
  <c r="O47" i="6"/>
  <c r="N50" i="6"/>
  <c r="O55" i="6"/>
  <c r="N61" i="6"/>
  <c r="O18" i="6"/>
  <c r="N21" i="6"/>
  <c r="O26" i="6"/>
  <c r="N29" i="6"/>
  <c r="O34" i="6"/>
  <c r="N37" i="6"/>
  <c r="O42" i="6"/>
  <c r="N45" i="6"/>
  <c r="O50" i="6"/>
  <c r="C8" i="1" l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B8" i="1"/>
</calcChain>
</file>

<file path=xl/sharedStrings.xml><?xml version="1.0" encoding="utf-8"?>
<sst xmlns="http://schemas.openxmlformats.org/spreadsheetml/2006/main" count="1073" uniqueCount="350">
  <si>
    <t>Starts (Flight Stage): Deutschland, Jahre,</t>
  </si>
  <si>
    <t>Berichtsflughafen, Land des Folgeflughafens</t>
  </si>
  <si>
    <t>Verkehrsleistungsstatistik im Luftverkehr</t>
  </si>
  <si>
    <t>Deutschland</t>
  </si>
  <si>
    <t>Starts (Anzahl)</t>
  </si>
  <si>
    <t>Berichtsflughafen</t>
  </si>
  <si>
    <t>F-SXF Berlin-Schönefeld</t>
  </si>
  <si>
    <t>F-TXL Berlin-Tegel</t>
  </si>
  <si>
    <t>F-BRE Bremen</t>
  </si>
  <si>
    <t>F-DTM Dortmund</t>
  </si>
  <si>
    <t>F-DRS Dresden</t>
  </si>
  <si>
    <t>F-DUS Düsseldorf</t>
  </si>
  <si>
    <t>F-ERF Erfurt</t>
  </si>
  <si>
    <t>F-FRA Frankfurt/Main</t>
  </si>
  <si>
    <t>F-FDH Friedrichshafen</t>
  </si>
  <si>
    <t>F-HHN Hahn</t>
  </si>
  <si>
    <t>F-HAM Hamburg</t>
  </si>
  <si>
    <t>F-HAJ Hannover</t>
  </si>
  <si>
    <t>F-FKB Karlsruhe</t>
  </si>
  <si>
    <t>F-CGN Köln/Bonn</t>
  </si>
  <si>
    <t>F-LEJ Leipzig/Halle</t>
  </si>
  <si>
    <t>F-LBC Lübeck</t>
  </si>
  <si>
    <t>F-FMM Memmingen</t>
  </si>
  <si>
    <t>F-MUC München</t>
  </si>
  <si>
    <t>F-FMO Münster/Osnabrück</t>
  </si>
  <si>
    <t>F-NRN Niederrhein</t>
  </si>
  <si>
    <t>F-NUE Nürnberg</t>
  </si>
  <si>
    <t>F-PAD Paderborn/Lippstadt</t>
  </si>
  <si>
    <t>F-RLG Rostock-Laage</t>
  </si>
  <si>
    <t>F-SCN Saarbrücken</t>
  </si>
  <si>
    <t>F-STR Stuttgart</t>
  </si>
  <si>
    <t>F-GWT Sylt-Westerland</t>
  </si>
  <si>
    <t>F-ZQW Zweibrücken</t>
  </si>
  <si>
    <t>Insgesamt</t>
  </si>
  <si>
    <t>Ägypten</t>
  </si>
  <si>
    <t>-</t>
  </si>
  <si>
    <t>Äquatorialguinea</t>
  </si>
  <si>
    <t>Äthiopien</t>
  </si>
  <si>
    <t>Afghanistan</t>
  </si>
  <si>
    <t>Albanien</t>
  </si>
  <si>
    <t>Algerien</t>
  </si>
  <si>
    <t>Amerikanische Jungferninseln</t>
  </si>
  <si>
    <t>Angola</t>
  </si>
  <si>
    <t>Antarktis</t>
  </si>
  <si>
    <t>Antigua und Barbuda</t>
  </si>
  <si>
    <t>Argentinien</t>
  </si>
  <si>
    <t>Armenien</t>
  </si>
  <si>
    <t>Aserbaidschan</t>
  </si>
  <si>
    <t>Australien</t>
  </si>
  <si>
    <t>Bahamas</t>
  </si>
  <si>
    <t>Bahrain</t>
  </si>
  <si>
    <t>Bangladesch</t>
  </si>
  <si>
    <t>Barbados</t>
  </si>
  <si>
    <t>Belgien</t>
  </si>
  <si>
    <t>Belize</t>
  </si>
  <si>
    <t>Benin</t>
  </si>
  <si>
    <t>Bermuda</t>
  </si>
  <si>
    <t>Bhutan</t>
  </si>
  <si>
    <t>Bolivien, Plurinationaler Staat</t>
  </si>
  <si>
    <t>Bosnien und Herzegowina</t>
  </si>
  <si>
    <t>Botsuana</t>
  </si>
  <si>
    <t>Brasilien</t>
  </si>
  <si>
    <t>Britische Jungferninseln</t>
  </si>
  <si>
    <t>Brunei Darussalam</t>
  </si>
  <si>
    <t>Bulgarien</t>
  </si>
  <si>
    <t>Burkina Faso</t>
  </si>
  <si>
    <t>Burundi</t>
  </si>
  <si>
    <t>Cabo Verde</t>
  </si>
  <si>
    <t>Chile</t>
  </si>
  <si>
    <t>China</t>
  </si>
  <si>
    <t>Costa Rica</t>
  </si>
  <si>
    <t>Cote d'Ivoire</t>
  </si>
  <si>
    <t>Dänemark</t>
  </si>
  <si>
    <t>Dominica</t>
  </si>
  <si>
    <t>Dominikanische Republik</t>
  </si>
  <si>
    <t>Dschibuti</t>
  </si>
  <si>
    <t>Ecuador</t>
  </si>
  <si>
    <t>El Salvador</t>
  </si>
  <si>
    <t>Eritrea</t>
  </si>
  <si>
    <t>Estland</t>
  </si>
  <si>
    <t>Färöer</t>
  </si>
  <si>
    <t>Falklandinseln</t>
  </si>
  <si>
    <t>Fidschi</t>
  </si>
  <si>
    <t>Finnland</t>
  </si>
  <si>
    <t>Frankreich</t>
  </si>
  <si>
    <t>Französisch-Guayana</t>
  </si>
  <si>
    <t>Französisch-Polynesien</t>
  </si>
  <si>
    <t>Gabun</t>
  </si>
  <si>
    <t>Gambia</t>
  </si>
  <si>
    <t>Georgien</t>
  </si>
  <si>
    <t>Ghana</t>
  </si>
  <si>
    <t>Gibraltar</t>
  </si>
  <si>
    <t>Grenada</t>
  </si>
  <si>
    <t>Griechenland, Festland</t>
  </si>
  <si>
    <t>Griechenland, Inseln</t>
  </si>
  <si>
    <t>Grönland</t>
  </si>
  <si>
    <t>Guadeloupe</t>
  </si>
  <si>
    <t>Guam</t>
  </si>
  <si>
    <t>Guatemala</t>
  </si>
  <si>
    <t>Guinea</t>
  </si>
  <si>
    <t>Guinea-Bissau</t>
  </si>
  <si>
    <t>Guyana</t>
  </si>
  <si>
    <t>Haiti</t>
  </si>
  <si>
    <t>Honduras</t>
  </si>
  <si>
    <t>Hongkong</t>
  </si>
  <si>
    <t>Indien</t>
  </si>
  <si>
    <t>Indonesien</t>
  </si>
  <si>
    <t>Irak</t>
  </si>
  <si>
    <t>Iran, Islamische Republik</t>
  </si>
  <si>
    <t>Irland</t>
  </si>
  <si>
    <t>Island</t>
  </si>
  <si>
    <t>Israel</t>
  </si>
  <si>
    <t>Italien</t>
  </si>
  <si>
    <t>Jamaika</t>
  </si>
  <si>
    <t>Japan</t>
  </si>
  <si>
    <t>Jemen</t>
  </si>
  <si>
    <t>Jordanien</t>
  </si>
  <si>
    <t>Kaimaninseln</t>
  </si>
  <si>
    <t>Kambodscha</t>
  </si>
  <si>
    <t>Kamerun</t>
  </si>
  <si>
    <t>Kanada</t>
  </si>
  <si>
    <t>Kasachstan</t>
  </si>
  <si>
    <t>Katar</t>
  </si>
  <si>
    <t>Kenia</t>
  </si>
  <si>
    <t>Kirgisistan</t>
  </si>
  <si>
    <t>Kiribati</t>
  </si>
  <si>
    <t>Kolumbien</t>
  </si>
  <si>
    <t>Komoren</t>
  </si>
  <si>
    <t>Kongo, Demokratische Republik</t>
  </si>
  <si>
    <t>Kongo, Republik</t>
  </si>
  <si>
    <t>Korea, Demokratische Volksrepublik</t>
  </si>
  <si>
    <t>Korea, Republik</t>
  </si>
  <si>
    <t>Kosovo</t>
  </si>
  <si>
    <t>Kroatien</t>
  </si>
  <si>
    <t>Kuba</t>
  </si>
  <si>
    <t>Kuwait</t>
  </si>
  <si>
    <t>Laos, Demokratische Volksrepublik</t>
  </si>
  <si>
    <t>Lesotho</t>
  </si>
  <si>
    <t>Lettland</t>
  </si>
  <si>
    <t>Libanon</t>
  </si>
  <si>
    <t>Liberia</t>
  </si>
  <si>
    <t>Libyen</t>
  </si>
  <si>
    <t>Litauen</t>
  </si>
  <si>
    <t>Luxemburg</t>
  </si>
  <si>
    <t>Macao</t>
  </si>
  <si>
    <t>Madagaskar</t>
  </si>
  <si>
    <t>Malawi</t>
  </si>
  <si>
    <t>Malaysia</t>
  </si>
  <si>
    <t>Malediven</t>
  </si>
  <si>
    <t>Mali</t>
  </si>
  <si>
    <t>Malta</t>
  </si>
  <si>
    <t>Marianen</t>
  </si>
  <si>
    <t>Marokko</t>
  </si>
  <si>
    <t>Martinique</t>
  </si>
  <si>
    <t>Mauretanien</t>
  </si>
  <si>
    <t>Mauritius</t>
  </si>
  <si>
    <t>Mazedonien, ehemalige jugoslawische Republik</t>
  </si>
  <si>
    <t>Mexiko</t>
  </si>
  <si>
    <t>Moldau, Republik</t>
  </si>
  <si>
    <t>Monaco</t>
  </si>
  <si>
    <t>Mongolei</t>
  </si>
  <si>
    <t>Montenegro (ab 03.06.2006)</t>
  </si>
  <si>
    <t>Mosambik</t>
  </si>
  <si>
    <t>Myanmar</t>
  </si>
  <si>
    <t>Namibia</t>
  </si>
  <si>
    <t>Nepal</t>
  </si>
  <si>
    <t>Neukaledonien</t>
  </si>
  <si>
    <t>Neuseeland</t>
  </si>
  <si>
    <t>Nicaragua</t>
  </si>
  <si>
    <t>Niederländische Antillen</t>
  </si>
  <si>
    <t>Niederlande</t>
  </si>
  <si>
    <t>Niger</t>
  </si>
  <si>
    <t>Nigeria</t>
  </si>
  <si>
    <t>Norwegen</t>
  </si>
  <si>
    <t>Österreich</t>
  </si>
  <si>
    <t>Oman</t>
  </si>
  <si>
    <t>Pakistan</t>
  </si>
  <si>
    <t>Palau</t>
  </si>
  <si>
    <t>Panama</t>
  </si>
  <si>
    <t>Papua-Neuguinea</t>
  </si>
  <si>
    <t>Paraguay</t>
  </si>
  <si>
    <t>Peru</t>
  </si>
  <si>
    <t>Philippinen</t>
  </si>
  <si>
    <t>Polen</t>
  </si>
  <si>
    <t>Portugal</t>
  </si>
  <si>
    <t>Puerto Rico</t>
  </si>
  <si>
    <t>Reunion</t>
  </si>
  <si>
    <t>Ruanda</t>
  </si>
  <si>
    <t>Rumänien</t>
  </si>
  <si>
    <t>Russische Föderation, asiatischer Teil</t>
  </si>
  <si>
    <t>Russische Föderation, europäischer Teil</t>
  </si>
  <si>
    <t>Salomonen</t>
  </si>
  <si>
    <t>Sambia</t>
  </si>
  <si>
    <t>Samoa</t>
  </si>
  <si>
    <t>Sao Tome und Principe</t>
  </si>
  <si>
    <t>Saudi-Arabien</t>
  </si>
  <si>
    <t>Schweden</t>
  </si>
  <si>
    <t>Schweiz</t>
  </si>
  <si>
    <t>Senegal</t>
  </si>
  <si>
    <t>Serbien (einschl. Kosovo) (03.06.2006-16.02.2008)</t>
  </si>
  <si>
    <t>Seychellen</t>
  </si>
  <si>
    <t>Sierra Leone</t>
  </si>
  <si>
    <t>Simbabwe</t>
  </si>
  <si>
    <t>Singapur</t>
  </si>
  <si>
    <t>Slowakei</t>
  </si>
  <si>
    <t>Slowenien</t>
  </si>
  <si>
    <t>Somalia</t>
  </si>
  <si>
    <t>Spanien, Balearen</t>
  </si>
  <si>
    <t>Spanien, Festland</t>
  </si>
  <si>
    <t>Spanien, Kanaren</t>
  </si>
  <si>
    <t>Sri Lanka</t>
  </si>
  <si>
    <t>St. Kitts und Nevis</t>
  </si>
  <si>
    <t>St. Lucia</t>
  </si>
  <si>
    <t>St. Pierre und Miquelon</t>
  </si>
  <si>
    <t>St. Vincent und die Grenadinen</t>
  </si>
  <si>
    <t>Sudan (einschließlich Südsudan) (bis 08.07.2011)</t>
  </si>
  <si>
    <t>Südafrika</t>
  </si>
  <si>
    <t>Suriname</t>
  </si>
  <si>
    <t>Swasiland</t>
  </si>
  <si>
    <t>Syrien</t>
  </si>
  <si>
    <t>Tadschikistan</t>
  </si>
  <si>
    <t>Taiwan</t>
  </si>
  <si>
    <t>Tansania</t>
  </si>
  <si>
    <t>Thailand</t>
  </si>
  <si>
    <t>Timor-Leste</t>
  </si>
  <si>
    <t>Togo</t>
  </si>
  <si>
    <t>Tonga</t>
  </si>
  <si>
    <t>Trinidad und Tobago</t>
  </si>
  <si>
    <t>Tschad</t>
  </si>
  <si>
    <t>Tschechische Republik</t>
  </si>
  <si>
    <t>Türkei</t>
  </si>
  <si>
    <t>Tunesien</t>
  </si>
  <si>
    <t>Turkmenistan</t>
  </si>
  <si>
    <t>Turks- und Caicosinseln</t>
  </si>
  <si>
    <t>Tuvalu</t>
  </si>
  <si>
    <t>Uganda</t>
  </si>
  <si>
    <t>Ukraine</t>
  </si>
  <si>
    <t>Ungarn</t>
  </si>
  <si>
    <t>Uruguay</t>
  </si>
  <si>
    <t>Usbekistan</t>
  </si>
  <si>
    <t>Vanuatu</t>
  </si>
  <si>
    <t>Venezuela, Bolivarische Republik</t>
  </si>
  <si>
    <t>Vereinigte Arabische Emirate</t>
  </si>
  <si>
    <t>Vereinigte Staaten (Alaska)</t>
  </si>
  <si>
    <t>Vereinigte Staaten (Hawaii)</t>
  </si>
  <si>
    <t>Vereinigte Staaten (Mitte nördlich)</t>
  </si>
  <si>
    <t>Vereinigte Staaten (Mitte südlich)</t>
  </si>
  <si>
    <t>Vereinigte Staaten (Nord-Ost)</t>
  </si>
  <si>
    <t>Vereinigte Staaten (Nord-West)</t>
  </si>
  <si>
    <t>Vereinigte Staaten (Süd-Ost)</t>
  </si>
  <si>
    <t>Vereinigte Staaten (Süd-West)</t>
  </si>
  <si>
    <t>Vereinigtes Königreich</t>
  </si>
  <si>
    <t>Vietnam</t>
  </si>
  <si>
    <t>Weißrussland</t>
  </si>
  <si>
    <t>Zentralafrikanische Republik</t>
  </si>
  <si>
    <t>Zypern</t>
  </si>
  <si>
    <t>__________</t>
  </si>
  <si>
    <t>(C)opyright Statistisches Bundesamt (Destatis), 2018</t>
  </si>
  <si>
    <t>2016 insgesamt</t>
  </si>
  <si>
    <t>Destination</t>
  </si>
  <si>
    <t>Departure</t>
  </si>
  <si>
    <t>F0FRA Frankfurt/Main</t>
  </si>
  <si>
    <t>Name</t>
  </si>
  <si>
    <t>SXF</t>
  </si>
  <si>
    <t>TXL</t>
  </si>
  <si>
    <t>Portfolio</t>
  </si>
  <si>
    <t>Einsteiger (OFOD): Deutschland, Monate, Berichtsflughafen,</t>
  </si>
  <si>
    <t>Letztbekanntes Zielland</t>
  </si>
  <si>
    <t>Einsteiger (Anzahl)</t>
  </si>
  <si>
    <t>Expected Values</t>
  </si>
  <si>
    <t>F-FRA</t>
  </si>
  <si>
    <t>LBC</t>
  </si>
  <si>
    <t>Covariance</t>
  </si>
  <si>
    <t>Correlation</t>
  </si>
  <si>
    <t>Frau</t>
  </si>
  <si>
    <t>Sum</t>
  </si>
  <si>
    <t>Variability</t>
  </si>
  <si>
    <t>Expected Return</t>
  </si>
  <si>
    <t>Optimal</t>
  </si>
  <si>
    <t>Total</t>
  </si>
  <si>
    <t>t</t>
  </si>
  <si>
    <t>mt</t>
  </si>
  <si>
    <t>DE-mt</t>
  </si>
  <si>
    <t>sk</t>
  </si>
  <si>
    <t>estimate</t>
  </si>
  <si>
    <t>2011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</si>
  <si>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</si>
  <si>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</si>
  <si>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</si>
  <si>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</si>
  <si>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</si>
  <si>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</si>
  <si>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</si>
  <si>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</si>
  <si>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</si>
  <si>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</si>
  <si>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</si>
  <si>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</si>
  <si>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2012</t>
  </si>
  <si>
    <t>2013</t>
  </si>
  <si>
    <t>2014</t>
  </si>
  <si>
    <t>2015</t>
  </si>
  <si>
    <t>2016</t>
  </si>
  <si>
    <t>2017</t>
  </si>
  <si>
    <t>...</t>
  </si>
  <si>
    <t>Stand: 05.02.2018 / 10:36:18</t>
  </si>
  <si>
    <t>F0SXF Berlin0Schönefeld</t>
  </si>
  <si>
    <t>F0TXL Berlin0Tegel</t>
  </si>
  <si>
    <t>F0BRE Bremen</t>
  </si>
  <si>
    <t>F0DTM Dortmund</t>
  </si>
  <si>
    <t>F0DRS Dresden</t>
  </si>
  <si>
    <t>F0DUS Düsseldorf</t>
  </si>
  <si>
    <t>F0ERF Erfurt</t>
  </si>
  <si>
    <t>F0FDH Friedrichshafen</t>
  </si>
  <si>
    <t>F0HHN Hahn</t>
  </si>
  <si>
    <t>F0HAM Hamburg</t>
  </si>
  <si>
    <t>F0HAJ Hannover</t>
  </si>
  <si>
    <t>F0FKB Karlsruhe</t>
  </si>
  <si>
    <t>F0CGN Köln/Bonn</t>
  </si>
  <si>
    <t>F0LEJ Leipzig/Halle</t>
  </si>
  <si>
    <t>F0LBC Lübeck</t>
  </si>
  <si>
    <t>F0FMM Memmingen</t>
  </si>
  <si>
    <t>F0MUC München</t>
  </si>
  <si>
    <t>F0FMO Münster/Osnabrück</t>
  </si>
  <si>
    <t>F0NRN Niederrhein</t>
  </si>
  <si>
    <t>F0NUE Nürnberg</t>
  </si>
  <si>
    <t>F0PAD Paderborn/Lippstadt</t>
  </si>
  <si>
    <t>F0RLG Rostock0Laage</t>
  </si>
  <si>
    <t>F0SCN Saarbrücken</t>
  </si>
  <si>
    <t>F0STR Stuttgart</t>
  </si>
  <si>
    <t>F0GWT Sylt0Westerland</t>
  </si>
  <si>
    <t>F0ZQW Zweibrücken</t>
  </si>
  <si>
    <t>Französisch0Guayana</t>
  </si>
  <si>
    <t>Französisch0Polynesien</t>
  </si>
  <si>
    <t>Guinea0Bissau</t>
  </si>
  <si>
    <t>Papua0Neuguinea</t>
  </si>
  <si>
    <t>Saudi0Arabien</t>
  </si>
  <si>
    <t>Serbien (einschl. Kosovo) (03.06.2006016.02.2008)</t>
  </si>
  <si>
    <t>Timor0Leste</t>
  </si>
  <si>
    <t>Turks0 und Caicosinseln</t>
  </si>
  <si>
    <t>Vereinigte Staaten (Nord0Ost)</t>
  </si>
  <si>
    <t>Vereinigte Staaten (Nord0West)</t>
  </si>
  <si>
    <t>Vereinigte Staaten (Süd0Ost)</t>
  </si>
  <si>
    <t>Vereinigte Staaten (Süd0West)</t>
  </si>
  <si>
    <t>Stand: 21.01.2018 0 22:19:01</t>
  </si>
  <si>
    <t>xt-mt</t>
  </si>
  <si>
    <t>Forecast (mt+sk)</t>
  </si>
  <si>
    <t>DE=xt</t>
  </si>
  <si>
    <t>Deutschland (xt)</t>
  </si>
  <si>
    <t>Erros (xt-forecast)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</si>
</sst>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1"/>
      <color indexed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5" fillId="2" borderId="1"/>
  </cellStyleXfs>
  <cellXfs count="71">
    <xf numFmtId="0" fontId="0" fillId="0" borderId="0" xfId="0"/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left"/>
    </xf>
    <xf numFmtId="0" fontId="0" fillId="0" borderId="0" xfId="0"/>
    <xf numFmtId="49" fontId="1" fillId="0" borderId="8" xfId="0" applyNumberFormat="1" applyFont="1" applyBorder="1" applyAlignment="1">
      <alignment horizontal="left"/>
    </xf>
    <xf numFmtId="0" fontId="1" fillId="2" borderId="4" xfId="0" applyNumberFormat="1" applyFont="1" applyFill="1" applyBorder="1" applyAlignment="1">
      <alignment vertical="center" wrapText="1"/>
    </xf>
    <xf numFmtId="0" fontId="1" fillId="2" borderId="6" xfId="0" applyNumberFormat="1" applyFont="1" applyFill="1" applyBorder="1" applyAlignment="1">
      <alignment vertical="center" wrapText="1"/>
    </xf>
    <xf numFmtId="49" fontId="3" fillId="0" borderId="0" xfId="0" applyNumberFormat="1" applyFont="1" applyBorder="1" applyAlignment="1">
      <alignment horizontal="left"/>
    </xf>
    <xf numFmtId="0" fontId="0" fillId="0" borderId="1" xfId="0" applyNumberFormat="1" applyFill="1" applyBorder="1" applyAlignment="1"/>
    <xf numFmtId="0" fontId="0" fillId="0" borderId="1" xfId="0" applyFill="1" applyBorder="1" applyAlignment="1"/>
    <xf numFmtId="0" fontId="0" fillId="0" borderId="9" xfId="0" applyFill="1" applyBorder="1" applyAlignment="1"/>
    <xf numFmtId="0" fontId="4" fillId="0" borderId="10" xfId="0" applyFont="1" applyFill="1" applyBorder="1" applyAlignment="1">
      <alignment horizontal="center"/>
    </xf>
    <xf numFmtId="0" fontId="0" fillId="0" borderId="0" xfId="0"/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vertical="center" wrapText="1"/>
    </xf>
    <xf numFmtId="0" fontId="1" fillId="2" borderId="5" xfId="0" applyNumberFormat="1" applyFont="1" applyFill="1" applyBorder="1" applyAlignment="1">
      <alignment vertical="center" wrapText="1"/>
    </xf>
    <xf numFmtId="0" fontId="2" fillId="2" borderId="1" xfId="0" applyNumberFormat="1" applyFont="1" applyFill="1" applyBorder="1" applyAlignment="1">
      <alignment vertical="center" wrapText="1"/>
    </xf>
    <xf numFmtId="0" fontId="0" fillId="0" borderId="0" xfId="0" applyAlignment="1"/>
    <xf numFmtId="0" fontId="2" fillId="2" borderId="1" xfId="0" applyNumberFormat="1" applyFont="1" applyFill="1" applyBorder="1" applyAlignment="1">
      <alignment vertical="top" wrapText="1"/>
    </xf>
    <xf numFmtId="0" fontId="1" fillId="0" borderId="0" xfId="0" applyFont="1" applyAlignment="1">
      <alignment vertical="center" wrapText="1"/>
    </xf>
    <xf numFmtId="0" fontId="2" fillId="2" borderId="1" xfId="1" applyNumberFormat="1" applyFont="1" applyFill="1" applyBorder="1" applyAlignment="1">
      <alignment vertical="center" wrapText="1"/>
    </xf>
    <xf numFmtId="0" fontId="5" fillId="2" borderId="1" xfId="1" applyAlignment="1"/>
    <xf numFmtId="0" fontId="5" fillId="2" borderId="1" xfId="1"/>
    <xf numFmtId="11" fontId="5" fillId="2" borderId="1" xfId="1" applyNumberFormat="1"/>
    <xf numFmtId="0" fontId="2" fillId="2" borderId="1" xfId="1" applyNumberFormat="1" applyFont="1" applyFill="1" applyBorder="1" applyAlignment="1">
      <alignment vertical="top" wrapText="1"/>
    </xf>
    <xf numFmtId="0" fontId="1" fillId="2" borderId="1" xfId="1" applyFont="1" applyAlignment="1">
      <alignment vertical="center" wrapText="1"/>
    </xf>
    <xf numFmtId="0" fontId="1" fillId="2" borderId="4" xfId="1" applyNumberFormat="1" applyFont="1" applyFill="1" applyBorder="1" applyAlignment="1">
      <alignment vertical="center" wrapText="1"/>
    </xf>
    <xf numFmtId="0" fontId="1" fillId="2" borderId="3" xfId="1" applyNumberFormat="1" applyFont="1" applyFill="1" applyBorder="1" applyAlignment="1">
      <alignment vertical="center" wrapText="1"/>
    </xf>
    <xf numFmtId="0" fontId="1" fillId="2" borderId="11" xfId="1" applyNumberFormat="1" applyFont="1" applyFill="1" applyBorder="1" applyAlignment="1">
      <alignment vertical="center" wrapText="1"/>
    </xf>
    <xf numFmtId="0" fontId="1" fillId="2" borderId="12" xfId="1" applyNumberFormat="1" applyFont="1" applyFill="1" applyBorder="1" applyAlignment="1">
      <alignment vertical="center" wrapText="1"/>
    </xf>
    <xf numFmtId="0" fontId="1" fillId="2" borderId="6" xfId="1" applyNumberFormat="1" applyFont="1" applyFill="1" applyBorder="1" applyAlignment="1">
      <alignment vertical="center" wrapText="1"/>
    </xf>
    <xf numFmtId="0" fontId="1" fillId="2" borderId="2" xfId="1" applyNumberFormat="1" applyFont="1" applyFill="1" applyBorder="1" applyAlignment="1">
      <alignment vertical="center" wrapText="1"/>
    </xf>
    <xf numFmtId="14" fontId="1" fillId="2" borderId="8" xfId="1" applyNumberFormat="1" applyFont="1" applyBorder="1" applyAlignment="1">
      <alignment horizontal="left"/>
    </xf>
    <xf numFmtId="0" fontId="1" fillId="2" borderId="1" xfId="1" applyFont="1" applyAlignment="1">
      <alignment horizontal="right"/>
    </xf>
    <xf numFmtId="49" fontId="5" fillId="2" borderId="1" xfId="1" applyNumberFormat="1"/>
    <xf numFmtId="2" fontId="5" fillId="2" borderId="1" xfId="1" applyNumberFormat="1"/>
    <xf numFmtId="0" fontId="5" fillId="3" borderId="1" xfId="1" applyFill="1"/>
    <xf numFmtId="49" fontId="5" fillId="3" borderId="1" xfId="1" applyNumberFormat="1" applyFill="1"/>
    <xf numFmtId="11" fontId="5" fillId="3" borderId="1" xfId="1" applyNumberFormat="1" applyFill="1"/>
    <xf numFmtId="0" fontId="1" fillId="3" borderId="1" xfId="1" applyFont="1" applyFill="1" applyAlignment="1">
      <alignment horizontal="right"/>
    </xf>
    <xf numFmtId="0" fontId="0" fillId="2" borderId="1" xfId="1" applyFont="1" applyAlignment="1"/>
    <xf numFmtId="0" fontId="0" fillId="2" borderId="1" xfId="1" applyFont="1"/>
    <xf numFmtId="49" fontId="1" fillId="2" borderId="8" xfId="1" applyNumberFormat="1" applyFont="1" applyBorder="1" applyAlignment="1">
      <alignment horizontal="left"/>
    </xf>
    <xf numFmtId="164" fontId="5" fillId="2" borderId="1" xfId="1" applyNumberFormat="1"/>
    <xf numFmtId="49" fontId="1" fillId="2" borderId="1" xfId="1" applyNumberFormat="1" applyFont="1" applyAlignment="1">
      <alignment horizontal="left"/>
    </xf>
    <xf numFmtId="0" fontId="1" fillId="2" borderId="5" xfId="1" applyNumberFormat="1" applyFont="1" applyFill="1" applyBorder="1" applyAlignment="1">
      <alignment vertical="center" wrapText="1"/>
    </xf>
    <xf numFmtId="0" fontId="1" fillId="2" borderId="7" xfId="1" applyNumberFormat="1" applyFont="1" applyFill="1" applyBorder="1" applyAlignment="1">
      <alignment vertical="center" wrapText="1"/>
    </xf>
    <xf numFmtId="0" fontId="5" fillId="0" borderId="1" xfId="1" applyFill="1"/>
    <xf numFmtId="0" fontId="0" fillId="0" borderId="1" xfId="1" applyFont="1" applyFill="1"/>
    <xf numFmtId="164" fontId="5" fillId="0" borderId="1" xfId="1" applyNumberFormat="1" applyFill="1"/>
    <xf numFmtId="49" fontId="1" fillId="0" borderId="8" xfId="1" applyNumberFormat="1" applyFont="1" applyFill="1" applyBorder="1" applyAlignment="1">
      <alignment horizontal="left"/>
    </xf>
    <xf numFmtId="164" fontId="5" fillId="0" borderId="1" xfId="1" applyNumberFormat="1" applyFill="1" applyAlignment="1">
      <alignment wrapText="1"/>
    </xf>
    <xf numFmtId="0" fontId="0" fillId="0" borderId="1" xfId="1" applyFont="1" applyFill="1" applyAlignment="1">
      <alignment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left" vertical="center" wrapText="1"/>
    </xf>
    <xf numFmtId="0" fontId="1" fillId="2" borderId="5" xfId="0" applyNumberFormat="1" applyFont="1" applyFill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0" fontId="0" fillId="0" borderId="0" xfId="0"/>
    <xf numFmtId="0" fontId="2" fillId="2" borderId="1" xfId="0" applyNumberFormat="1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left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164" fontId="0" fillId="0" borderId="0" xfId="0" applyNumberFormat="1"/>
  </cellXfs>
  <cellStyles count="2">
    <cellStyle name="Normal" xfId="0" builtinId="0"/>
    <cellStyle name="Standard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'46421-0002'!$C$7</c:f>
              <c:strCache>
                <c:ptCount val="1"/>
                <c:pt idx="0">
                  <c:v>F0TXL Berlin0Tegel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'46421-0002'!$B$8:$B$230</c:f>
              <c:numCache>
                <c:formatCode>General</c:formatCode>
                <c:ptCount val="222"/>
                <c:pt idx="0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2039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268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867</c:v>
                </c:pt>
                <c:pt idx="38">
                  <c:v>4964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</c:v>
                </c:pt>
                <c:pt idx="50">
                  <c:v>2453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1185</c:v>
                </c:pt>
                <c:pt idx="60">
                  <c:v>279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5</c:v>
                </c:pt>
                <c:pt idx="74">
                  <c:v>104</c:v>
                </c:pt>
                <c:pt idx="75">
                  <c:v>697</c:v>
                </c:pt>
                <c:pt idx="76">
                  <c:v>282</c:v>
                </c:pt>
                <c:pt idx="77">
                  <c:v>875</c:v>
                </c:pt>
                <c:pt idx="78">
                  <c:v>4630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13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135</c:v>
                </c:pt>
                <c:pt idx="99">
                  <c:v>200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373</c:v>
                </c:pt>
                <c:pt idx="105">
                  <c:v>172</c:v>
                </c:pt>
                <c:pt idx="106">
                  <c:v>0</c:v>
                </c:pt>
                <c:pt idx="107">
                  <c:v>1</c:v>
                </c:pt>
                <c:pt idx="108">
                  <c:v>66</c:v>
                </c:pt>
                <c:pt idx="109">
                  <c:v>13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92</c:v>
                </c:pt>
                <c:pt idx="117">
                  <c:v>0</c:v>
                </c:pt>
                <c:pt idx="118">
                  <c:v>71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83</c:v>
                </c:pt>
                <c:pt idx="123">
                  <c:v>0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36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1378</c:v>
                </c:pt>
                <c:pt idx="137">
                  <c:v>0</c:v>
                </c:pt>
                <c:pt idx="138">
                  <c:v>0</c:v>
                </c:pt>
                <c:pt idx="139">
                  <c:v>1349</c:v>
                </c:pt>
                <c:pt idx="140">
                  <c:v>634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139</c:v>
                </c:pt>
                <c:pt idx="150">
                  <c:v>1081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328</c:v>
                </c:pt>
                <c:pt idx="155">
                  <c:v>2</c:v>
                </c:pt>
                <c:pt idx="156">
                  <c:v>2310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11</c:v>
                </c:pt>
                <c:pt idx="162">
                  <c:v>412</c:v>
                </c:pt>
                <c:pt idx="163">
                  <c:v>2381</c:v>
                </c:pt>
                <c:pt idx="164">
                  <c:v>0</c:v>
                </c:pt>
                <c:pt idx="165">
                  <c:v>38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344</c:v>
                </c:pt>
                <c:pt idx="171">
                  <c:v>0</c:v>
                </c:pt>
                <c:pt idx="172">
                  <c:v>0</c:v>
                </c:pt>
                <c:pt idx="173">
                  <c:v>1068</c:v>
                </c:pt>
                <c:pt idx="174">
                  <c:v>3113</c:v>
                </c:pt>
                <c:pt idx="175">
                  <c:v>844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111</c:v>
                </c:pt>
                <c:pt idx="196">
                  <c:v>1119</c:v>
                </c:pt>
                <c:pt idx="197">
                  <c:v>138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31</c:v>
                </c:pt>
                <c:pt idx="203">
                  <c:v>488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13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32</c:v>
                </c:pt>
                <c:pt idx="214">
                  <c:v>1</c:v>
                </c:pt>
                <c:pt idx="215">
                  <c:v>1</c:v>
                </c:pt>
                <c:pt idx="216">
                  <c:v>6</c:v>
                </c:pt>
                <c:pt idx="217">
                  <c:v>6647</c:v>
                </c:pt>
                <c:pt idx="218">
                  <c:v>0</c:v>
                </c:pt>
                <c:pt idx="219">
                  <c:v>253</c:v>
                </c:pt>
                <c:pt idx="220">
                  <c:v>0</c:v>
                </c:pt>
                <c:pt idx="221">
                  <c:v>198</c:v>
                </c:pt>
              </c:numCache>
            </c:numRef>
          </c:xVal>
          <c:yVal>
            <c:numRef>
              <c:f>'46421-0002'!$C$8:$C$230</c:f>
            </c:numRef>
          </c:yVal>
          <c:smooth val="0"/>
          <c:extLst>
            <c:ext xmlns:c16="http://schemas.microsoft.com/office/drawing/2014/chart" uri="{C3380CC4-5D6E-409C-BE32-E72D297353CC}">
              <c16:uniqueId val="{00000000-7261-4E6D-A02E-4246D74D2FB7}"/>
            </c:ext>
          </c:extLst>
        </c:ser>
        <c:ser>
          <c:idx val="1"/>
          <c:order val="1"/>
          <c:tx>
            <c:strRef>
              <c:f>'46421-0002'!$D$7</c:f>
              <c:strCache>
                <c:ptCount val="1"/>
                <c:pt idx="0">
                  <c:v>F0BRE Bremen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'46421-0002'!$B$8:$B$230</c:f>
              <c:numCache>
                <c:formatCode>General</c:formatCode>
                <c:ptCount val="222"/>
                <c:pt idx="0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2039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268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867</c:v>
                </c:pt>
                <c:pt idx="38">
                  <c:v>4964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</c:v>
                </c:pt>
                <c:pt idx="50">
                  <c:v>2453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1185</c:v>
                </c:pt>
                <c:pt idx="60">
                  <c:v>279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5</c:v>
                </c:pt>
                <c:pt idx="74">
                  <c:v>104</c:v>
                </c:pt>
                <c:pt idx="75">
                  <c:v>697</c:v>
                </c:pt>
                <c:pt idx="76">
                  <c:v>282</c:v>
                </c:pt>
                <c:pt idx="77">
                  <c:v>875</c:v>
                </c:pt>
                <c:pt idx="78">
                  <c:v>4630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13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135</c:v>
                </c:pt>
                <c:pt idx="99">
                  <c:v>200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373</c:v>
                </c:pt>
                <c:pt idx="105">
                  <c:v>172</c:v>
                </c:pt>
                <c:pt idx="106">
                  <c:v>0</c:v>
                </c:pt>
                <c:pt idx="107">
                  <c:v>1</c:v>
                </c:pt>
                <c:pt idx="108">
                  <c:v>66</c:v>
                </c:pt>
                <c:pt idx="109">
                  <c:v>13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92</c:v>
                </c:pt>
                <c:pt idx="117">
                  <c:v>0</c:v>
                </c:pt>
                <c:pt idx="118">
                  <c:v>71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83</c:v>
                </c:pt>
                <c:pt idx="123">
                  <c:v>0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36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1378</c:v>
                </c:pt>
                <c:pt idx="137">
                  <c:v>0</c:v>
                </c:pt>
                <c:pt idx="138">
                  <c:v>0</c:v>
                </c:pt>
                <c:pt idx="139">
                  <c:v>1349</c:v>
                </c:pt>
                <c:pt idx="140">
                  <c:v>634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139</c:v>
                </c:pt>
                <c:pt idx="150">
                  <c:v>1081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328</c:v>
                </c:pt>
                <c:pt idx="155">
                  <c:v>2</c:v>
                </c:pt>
                <c:pt idx="156">
                  <c:v>2310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11</c:v>
                </c:pt>
                <c:pt idx="162">
                  <c:v>412</c:v>
                </c:pt>
                <c:pt idx="163">
                  <c:v>2381</c:v>
                </c:pt>
                <c:pt idx="164">
                  <c:v>0</c:v>
                </c:pt>
                <c:pt idx="165">
                  <c:v>38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344</c:v>
                </c:pt>
                <c:pt idx="171">
                  <c:v>0</c:v>
                </c:pt>
                <c:pt idx="172">
                  <c:v>0</c:v>
                </c:pt>
                <c:pt idx="173">
                  <c:v>1068</c:v>
                </c:pt>
                <c:pt idx="174">
                  <c:v>3113</c:v>
                </c:pt>
                <c:pt idx="175">
                  <c:v>844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111</c:v>
                </c:pt>
                <c:pt idx="196">
                  <c:v>1119</c:v>
                </c:pt>
                <c:pt idx="197">
                  <c:v>138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31</c:v>
                </c:pt>
                <c:pt idx="203">
                  <c:v>488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13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32</c:v>
                </c:pt>
                <c:pt idx="214">
                  <c:v>1</c:v>
                </c:pt>
                <c:pt idx="215">
                  <c:v>1</c:v>
                </c:pt>
                <c:pt idx="216">
                  <c:v>6</c:v>
                </c:pt>
                <c:pt idx="217">
                  <c:v>6647</c:v>
                </c:pt>
                <c:pt idx="218">
                  <c:v>0</c:v>
                </c:pt>
                <c:pt idx="219">
                  <c:v>253</c:v>
                </c:pt>
                <c:pt idx="220">
                  <c:v>0</c:v>
                </c:pt>
                <c:pt idx="221">
                  <c:v>198</c:v>
                </c:pt>
              </c:numCache>
            </c:numRef>
          </c:xVal>
          <c:yVal>
            <c:numRef>
              <c:f>'46421-0002'!$D$8:$D$230</c:f>
            </c:numRef>
          </c:yVal>
          <c:smooth val="0"/>
          <c:extLst>
            <c:ext xmlns:c16="http://schemas.microsoft.com/office/drawing/2014/chart" uri="{C3380CC4-5D6E-409C-BE32-E72D297353CC}">
              <c16:uniqueId val="{00000001-7261-4E6D-A02E-4246D74D2FB7}"/>
            </c:ext>
          </c:extLst>
        </c:ser>
        <c:ser>
          <c:idx val="2"/>
          <c:order val="2"/>
          <c:tx>
            <c:strRef>
              <c:f>'46421-0002'!$E$7</c:f>
              <c:strCache>
                <c:ptCount val="1"/>
                <c:pt idx="0">
                  <c:v>F0DTM Dortmund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'46421-0002'!$B$8:$B$230</c:f>
              <c:numCache>
                <c:formatCode>General</c:formatCode>
                <c:ptCount val="222"/>
                <c:pt idx="0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2039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268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867</c:v>
                </c:pt>
                <c:pt idx="38">
                  <c:v>4964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</c:v>
                </c:pt>
                <c:pt idx="50">
                  <c:v>2453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1185</c:v>
                </c:pt>
                <c:pt idx="60">
                  <c:v>279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5</c:v>
                </c:pt>
                <c:pt idx="74">
                  <c:v>104</c:v>
                </c:pt>
                <c:pt idx="75">
                  <c:v>697</c:v>
                </c:pt>
                <c:pt idx="76">
                  <c:v>282</c:v>
                </c:pt>
                <c:pt idx="77">
                  <c:v>875</c:v>
                </c:pt>
                <c:pt idx="78">
                  <c:v>4630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13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135</c:v>
                </c:pt>
                <c:pt idx="99">
                  <c:v>200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373</c:v>
                </c:pt>
                <c:pt idx="105">
                  <c:v>172</c:v>
                </c:pt>
                <c:pt idx="106">
                  <c:v>0</c:v>
                </c:pt>
                <c:pt idx="107">
                  <c:v>1</c:v>
                </c:pt>
                <c:pt idx="108">
                  <c:v>66</c:v>
                </c:pt>
                <c:pt idx="109">
                  <c:v>13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92</c:v>
                </c:pt>
                <c:pt idx="117">
                  <c:v>0</c:v>
                </c:pt>
                <c:pt idx="118">
                  <c:v>71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83</c:v>
                </c:pt>
                <c:pt idx="123">
                  <c:v>0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36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1378</c:v>
                </c:pt>
                <c:pt idx="137">
                  <c:v>0</c:v>
                </c:pt>
                <c:pt idx="138">
                  <c:v>0</c:v>
                </c:pt>
                <c:pt idx="139">
                  <c:v>1349</c:v>
                </c:pt>
                <c:pt idx="140">
                  <c:v>634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139</c:v>
                </c:pt>
                <c:pt idx="150">
                  <c:v>1081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328</c:v>
                </c:pt>
                <c:pt idx="155">
                  <c:v>2</c:v>
                </c:pt>
                <c:pt idx="156">
                  <c:v>2310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11</c:v>
                </c:pt>
                <c:pt idx="162">
                  <c:v>412</c:v>
                </c:pt>
                <c:pt idx="163">
                  <c:v>2381</c:v>
                </c:pt>
                <c:pt idx="164">
                  <c:v>0</c:v>
                </c:pt>
                <c:pt idx="165">
                  <c:v>38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344</c:v>
                </c:pt>
                <c:pt idx="171">
                  <c:v>0</c:v>
                </c:pt>
                <c:pt idx="172">
                  <c:v>0</c:v>
                </c:pt>
                <c:pt idx="173">
                  <c:v>1068</c:v>
                </c:pt>
                <c:pt idx="174">
                  <c:v>3113</c:v>
                </c:pt>
                <c:pt idx="175">
                  <c:v>844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111</c:v>
                </c:pt>
                <c:pt idx="196">
                  <c:v>1119</c:v>
                </c:pt>
                <c:pt idx="197">
                  <c:v>138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31</c:v>
                </c:pt>
                <c:pt idx="203">
                  <c:v>488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13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32</c:v>
                </c:pt>
                <c:pt idx="214">
                  <c:v>1</c:v>
                </c:pt>
                <c:pt idx="215">
                  <c:v>1</c:v>
                </c:pt>
                <c:pt idx="216">
                  <c:v>6</c:v>
                </c:pt>
                <c:pt idx="217">
                  <c:v>6647</c:v>
                </c:pt>
                <c:pt idx="218">
                  <c:v>0</c:v>
                </c:pt>
                <c:pt idx="219">
                  <c:v>253</c:v>
                </c:pt>
                <c:pt idx="220">
                  <c:v>0</c:v>
                </c:pt>
                <c:pt idx="221">
                  <c:v>198</c:v>
                </c:pt>
              </c:numCache>
            </c:numRef>
          </c:xVal>
          <c:yVal>
            <c:numRef>
              <c:f>'46421-0002'!$E$8:$E$230</c:f>
            </c:numRef>
          </c:yVal>
          <c:smooth val="0"/>
          <c:extLst>
            <c:ext xmlns:c16="http://schemas.microsoft.com/office/drawing/2014/chart" uri="{C3380CC4-5D6E-409C-BE32-E72D297353CC}">
              <c16:uniqueId val="{00000002-7261-4E6D-A02E-4246D74D2FB7}"/>
            </c:ext>
          </c:extLst>
        </c:ser>
        <c:ser>
          <c:idx val="3"/>
          <c:order val="3"/>
          <c:tx>
            <c:strRef>
              <c:f>'46421-0002'!$F$7</c:f>
              <c:strCache>
                <c:ptCount val="1"/>
                <c:pt idx="0">
                  <c:v>F0DRS Dresden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'46421-0002'!$B$8:$B$230</c:f>
              <c:numCache>
                <c:formatCode>General</c:formatCode>
                <c:ptCount val="222"/>
                <c:pt idx="0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2039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268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867</c:v>
                </c:pt>
                <c:pt idx="38">
                  <c:v>4964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</c:v>
                </c:pt>
                <c:pt idx="50">
                  <c:v>2453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1185</c:v>
                </c:pt>
                <c:pt idx="60">
                  <c:v>279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5</c:v>
                </c:pt>
                <c:pt idx="74">
                  <c:v>104</c:v>
                </c:pt>
                <c:pt idx="75">
                  <c:v>697</c:v>
                </c:pt>
                <c:pt idx="76">
                  <c:v>282</c:v>
                </c:pt>
                <c:pt idx="77">
                  <c:v>875</c:v>
                </c:pt>
                <c:pt idx="78">
                  <c:v>4630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13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135</c:v>
                </c:pt>
                <c:pt idx="99">
                  <c:v>200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373</c:v>
                </c:pt>
                <c:pt idx="105">
                  <c:v>172</c:v>
                </c:pt>
                <c:pt idx="106">
                  <c:v>0</c:v>
                </c:pt>
                <c:pt idx="107">
                  <c:v>1</c:v>
                </c:pt>
                <c:pt idx="108">
                  <c:v>66</c:v>
                </c:pt>
                <c:pt idx="109">
                  <c:v>13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92</c:v>
                </c:pt>
                <c:pt idx="117">
                  <c:v>0</c:v>
                </c:pt>
                <c:pt idx="118">
                  <c:v>71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83</c:v>
                </c:pt>
                <c:pt idx="123">
                  <c:v>0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36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1378</c:v>
                </c:pt>
                <c:pt idx="137">
                  <c:v>0</c:v>
                </c:pt>
                <c:pt idx="138">
                  <c:v>0</c:v>
                </c:pt>
                <c:pt idx="139">
                  <c:v>1349</c:v>
                </c:pt>
                <c:pt idx="140">
                  <c:v>634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139</c:v>
                </c:pt>
                <c:pt idx="150">
                  <c:v>1081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328</c:v>
                </c:pt>
                <c:pt idx="155">
                  <c:v>2</c:v>
                </c:pt>
                <c:pt idx="156">
                  <c:v>2310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11</c:v>
                </c:pt>
                <c:pt idx="162">
                  <c:v>412</c:v>
                </c:pt>
                <c:pt idx="163">
                  <c:v>2381</c:v>
                </c:pt>
                <c:pt idx="164">
                  <c:v>0</c:v>
                </c:pt>
                <c:pt idx="165">
                  <c:v>38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344</c:v>
                </c:pt>
                <c:pt idx="171">
                  <c:v>0</c:v>
                </c:pt>
                <c:pt idx="172">
                  <c:v>0</c:v>
                </c:pt>
                <c:pt idx="173">
                  <c:v>1068</c:v>
                </c:pt>
                <c:pt idx="174">
                  <c:v>3113</c:v>
                </c:pt>
                <c:pt idx="175">
                  <c:v>844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111</c:v>
                </c:pt>
                <c:pt idx="196">
                  <c:v>1119</c:v>
                </c:pt>
                <c:pt idx="197">
                  <c:v>138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31</c:v>
                </c:pt>
                <c:pt idx="203">
                  <c:v>488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13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32</c:v>
                </c:pt>
                <c:pt idx="214">
                  <c:v>1</c:v>
                </c:pt>
                <c:pt idx="215">
                  <c:v>1</c:v>
                </c:pt>
                <c:pt idx="216">
                  <c:v>6</c:v>
                </c:pt>
                <c:pt idx="217">
                  <c:v>6647</c:v>
                </c:pt>
                <c:pt idx="218">
                  <c:v>0</c:v>
                </c:pt>
                <c:pt idx="219">
                  <c:v>253</c:v>
                </c:pt>
                <c:pt idx="220">
                  <c:v>0</c:v>
                </c:pt>
                <c:pt idx="221">
                  <c:v>198</c:v>
                </c:pt>
              </c:numCache>
            </c:numRef>
          </c:xVal>
          <c:yVal>
            <c:numRef>
              <c:f>'46421-0002'!$F$8:$F$230</c:f>
            </c:numRef>
          </c:yVal>
          <c:smooth val="0"/>
          <c:extLst>
            <c:ext xmlns:c16="http://schemas.microsoft.com/office/drawing/2014/chart" uri="{C3380CC4-5D6E-409C-BE32-E72D297353CC}">
              <c16:uniqueId val="{00000003-7261-4E6D-A02E-4246D74D2FB7}"/>
            </c:ext>
          </c:extLst>
        </c:ser>
        <c:ser>
          <c:idx val="4"/>
          <c:order val="4"/>
          <c:tx>
            <c:strRef>
              <c:f>'46421-0002'!$G$7</c:f>
              <c:strCache>
                <c:ptCount val="1"/>
                <c:pt idx="0">
                  <c:v>F0DUS Düsseldorf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'46421-0002'!$B$8:$B$230</c:f>
              <c:numCache>
                <c:formatCode>General</c:formatCode>
                <c:ptCount val="222"/>
                <c:pt idx="0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2039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268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867</c:v>
                </c:pt>
                <c:pt idx="38">
                  <c:v>4964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</c:v>
                </c:pt>
                <c:pt idx="50">
                  <c:v>2453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1185</c:v>
                </c:pt>
                <c:pt idx="60">
                  <c:v>279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5</c:v>
                </c:pt>
                <c:pt idx="74">
                  <c:v>104</c:v>
                </c:pt>
                <c:pt idx="75">
                  <c:v>697</c:v>
                </c:pt>
                <c:pt idx="76">
                  <c:v>282</c:v>
                </c:pt>
                <c:pt idx="77">
                  <c:v>875</c:v>
                </c:pt>
                <c:pt idx="78">
                  <c:v>4630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13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135</c:v>
                </c:pt>
                <c:pt idx="99">
                  <c:v>200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373</c:v>
                </c:pt>
                <c:pt idx="105">
                  <c:v>172</c:v>
                </c:pt>
                <c:pt idx="106">
                  <c:v>0</c:v>
                </c:pt>
                <c:pt idx="107">
                  <c:v>1</c:v>
                </c:pt>
                <c:pt idx="108">
                  <c:v>66</c:v>
                </c:pt>
                <c:pt idx="109">
                  <c:v>13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92</c:v>
                </c:pt>
                <c:pt idx="117">
                  <c:v>0</c:v>
                </c:pt>
                <c:pt idx="118">
                  <c:v>71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83</c:v>
                </c:pt>
                <c:pt idx="123">
                  <c:v>0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36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1378</c:v>
                </c:pt>
                <c:pt idx="137">
                  <c:v>0</c:v>
                </c:pt>
                <c:pt idx="138">
                  <c:v>0</c:v>
                </c:pt>
                <c:pt idx="139">
                  <c:v>1349</c:v>
                </c:pt>
                <c:pt idx="140">
                  <c:v>634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139</c:v>
                </c:pt>
                <c:pt idx="150">
                  <c:v>1081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328</c:v>
                </c:pt>
                <c:pt idx="155">
                  <c:v>2</c:v>
                </c:pt>
                <c:pt idx="156">
                  <c:v>2310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11</c:v>
                </c:pt>
                <c:pt idx="162">
                  <c:v>412</c:v>
                </c:pt>
                <c:pt idx="163">
                  <c:v>2381</c:v>
                </c:pt>
                <c:pt idx="164">
                  <c:v>0</c:v>
                </c:pt>
                <c:pt idx="165">
                  <c:v>38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344</c:v>
                </c:pt>
                <c:pt idx="171">
                  <c:v>0</c:v>
                </c:pt>
                <c:pt idx="172">
                  <c:v>0</c:v>
                </c:pt>
                <c:pt idx="173">
                  <c:v>1068</c:v>
                </c:pt>
                <c:pt idx="174">
                  <c:v>3113</c:v>
                </c:pt>
                <c:pt idx="175">
                  <c:v>844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111</c:v>
                </c:pt>
                <c:pt idx="196">
                  <c:v>1119</c:v>
                </c:pt>
                <c:pt idx="197">
                  <c:v>138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31</c:v>
                </c:pt>
                <c:pt idx="203">
                  <c:v>488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13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32</c:v>
                </c:pt>
                <c:pt idx="214">
                  <c:v>1</c:v>
                </c:pt>
                <c:pt idx="215">
                  <c:v>1</c:v>
                </c:pt>
                <c:pt idx="216">
                  <c:v>6</c:v>
                </c:pt>
                <c:pt idx="217">
                  <c:v>6647</c:v>
                </c:pt>
                <c:pt idx="218">
                  <c:v>0</c:v>
                </c:pt>
                <c:pt idx="219">
                  <c:v>253</c:v>
                </c:pt>
                <c:pt idx="220">
                  <c:v>0</c:v>
                </c:pt>
                <c:pt idx="221">
                  <c:v>198</c:v>
                </c:pt>
              </c:numCache>
            </c:numRef>
          </c:xVal>
          <c:yVal>
            <c:numRef>
              <c:f>'46421-0002'!$G$8:$G$230</c:f>
            </c:numRef>
          </c:yVal>
          <c:smooth val="0"/>
          <c:extLst>
            <c:ext xmlns:c16="http://schemas.microsoft.com/office/drawing/2014/chart" uri="{C3380CC4-5D6E-409C-BE32-E72D297353CC}">
              <c16:uniqueId val="{00000004-7261-4E6D-A02E-4246D74D2FB7}"/>
            </c:ext>
          </c:extLst>
        </c:ser>
        <c:ser>
          <c:idx val="5"/>
          <c:order val="5"/>
          <c:tx>
            <c:strRef>
              <c:f>'46421-0002'!$H$7</c:f>
              <c:strCache>
                <c:ptCount val="1"/>
                <c:pt idx="0">
                  <c:v>F0ERF Erfurt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'46421-0002'!$B$8:$B$230</c:f>
              <c:numCache>
                <c:formatCode>General</c:formatCode>
                <c:ptCount val="222"/>
                <c:pt idx="0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2039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268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867</c:v>
                </c:pt>
                <c:pt idx="38">
                  <c:v>4964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</c:v>
                </c:pt>
                <c:pt idx="50">
                  <c:v>2453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1185</c:v>
                </c:pt>
                <c:pt idx="60">
                  <c:v>279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5</c:v>
                </c:pt>
                <c:pt idx="74">
                  <c:v>104</c:v>
                </c:pt>
                <c:pt idx="75">
                  <c:v>697</c:v>
                </c:pt>
                <c:pt idx="76">
                  <c:v>282</c:v>
                </c:pt>
                <c:pt idx="77">
                  <c:v>875</c:v>
                </c:pt>
                <c:pt idx="78">
                  <c:v>4630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13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135</c:v>
                </c:pt>
                <c:pt idx="99">
                  <c:v>200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373</c:v>
                </c:pt>
                <c:pt idx="105">
                  <c:v>172</c:v>
                </c:pt>
                <c:pt idx="106">
                  <c:v>0</c:v>
                </c:pt>
                <c:pt idx="107">
                  <c:v>1</c:v>
                </c:pt>
                <c:pt idx="108">
                  <c:v>66</c:v>
                </c:pt>
                <c:pt idx="109">
                  <c:v>13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92</c:v>
                </c:pt>
                <c:pt idx="117">
                  <c:v>0</c:v>
                </c:pt>
                <c:pt idx="118">
                  <c:v>71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83</c:v>
                </c:pt>
                <c:pt idx="123">
                  <c:v>0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36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1378</c:v>
                </c:pt>
                <c:pt idx="137">
                  <c:v>0</c:v>
                </c:pt>
                <c:pt idx="138">
                  <c:v>0</c:v>
                </c:pt>
                <c:pt idx="139">
                  <c:v>1349</c:v>
                </c:pt>
                <c:pt idx="140">
                  <c:v>634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139</c:v>
                </c:pt>
                <c:pt idx="150">
                  <c:v>1081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328</c:v>
                </c:pt>
                <c:pt idx="155">
                  <c:v>2</c:v>
                </c:pt>
                <c:pt idx="156">
                  <c:v>2310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11</c:v>
                </c:pt>
                <c:pt idx="162">
                  <c:v>412</c:v>
                </c:pt>
                <c:pt idx="163">
                  <c:v>2381</c:v>
                </c:pt>
                <c:pt idx="164">
                  <c:v>0</c:v>
                </c:pt>
                <c:pt idx="165">
                  <c:v>38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344</c:v>
                </c:pt>
                <c:pt idx="171">
                  <c:v>0</c:v>
                </c:pt>
                <c:pt idx="172">
                  <c:v>0</c:v>
                </c:pt>
                <c:pt idx="173">
                  <c:v>1068</c:v>
                </c:pt>
                <c:pt idx="174">
                  <c:v>3113</c:v>
                </c:pt>
                <c:pt idx="175">
                  <c:v>844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111</c:v>
                </c:pt>
                <c:pt idx="196">
                  <c:v>1119</c:v>
                </c:pt>
                <c:pt idx="197">
                  <c:v>138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31</c:v>
                </c:pt>
                <c:pt idx="203">
                  <c:v>488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13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32</c:v>
                </c:pt>
                <c:pt idx="214">
                  <c:v>1</c:v>
                </c:pt>
                <c:pt idx="215">
                  <c:v>1</c:v>
                </c:pt>
                <c:pt idx="216">
                  <c:v>6</c:v>
                </c:pt>
                <c:pt idx="217">
                  <c:v>6647</c:v>
                </c:pt>
                <c:pt idx="218">
                  <c:v>0</c:v>
                </c:pt>
                <c:pt idx="219">
                  <c:v>253</c:v>
                </c:pt>
                <c:pt idx="220">
                  <c:v>0</c:v>
                </c:pt>
                <c:pt idx="221">
                  <c:v>198</c:v>
                </c:pt>
              </c:numCache>
            </c:numRef>
          </c:xVal>
          <c:yVal>
            <c:numRef>
              <c:f>'46421-0002'!$H$8:$H$230</c:f>
            </c:numRef>
          </c:yVal>
          <c:smooth val="0"/>
          <c:extLst>
            <c:ext xmlns:c16="http://schemas.microsoft.com/office/drawing/2014/chart" uri="{C3380CC4-5D6E-409C-BE32-E72D297353CC}">
              <c16:uniqueId val="{00000005-7261-4E6D-A02E-4246D74D2FB7}"/>
            </c:ext>
          </c:extLst>
        </c:ser>
        <c:ser>
          <c:idx val="6"/>
          <c:order val="6"/>
          <c:tx>
            <c:strRef>
              <c:f>'46421-0002'!$I$7</c:f>
              <c:strCache>
                <c:ptCount val="1"/>
                <c:pt idx="0">
                  <c:v>F0FRA Frankfurt/Main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</a:ln>
            <a:effectLst>
              <a:glow rad="139700">
                <a:schemeClr val="accent1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'46421-0002'!$B$8:$B$230</c:f>
              <c:numCache>
                <c:formatCode>General</c:formatCode>
                <c:ptCount val="222"/>
                <c:pt idx="0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2039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268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867</c:v>
                </c:pt>
                <c:pt idx="38">
                  <c:v>4964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</c:v>
                </c:pt>
                <c:pt idx="50">
                  <c:v>2453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1185</c:v>
                </c:pt>
                <c:pt idx="60">
                  <c:v>279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5</c:v>
                </c:pt>
                <c:pt idx="74">
                  <c:v>104</c:v>
                </c:pt>
                <c:pt idx="75">
                  <c:v>697</c:v>
                </c:pt>
                <c:pt idx="76">
                  <c:v>282</c:v>
                </c:pt>
                <c:pt idx="77">
                  <c:v>875</c:v>
                </c:pt>
                <c:pt idx="78">
                  <c:v>4630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13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135</c:v>
                </c:pt>
                <c:pt idx="99">
                  <c:v>200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373</c:v>
                </c:pt>
                <c:pt idx="105">
                  <c:v>172</c:v>
                </c:pt>
                <c:pt idx="106">
                  <c:v>0</c:v>
                </c:pt>
                <c:pt idx="107">
                  <c:v>1</c:v>
                </c:pt>
                <c:pt idx="108">
                  <c:v>66</c:v>
                </c:pt>
                <c:pt idx="109">
                  <c:v>13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92</c:v>
                </c:pt>
                <c:pt idx="117">
                  <c:v>0</c:v>
                </c:pt>
                <c:pt idx="118">
                  <c:v>71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83</c:v>
                </c:pt>
                <c:pt idx="123">
                  <c:v>0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36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1378</c:v>
                </c:pt>
                <c:pt idx="137">
                  <c:v>0</c:v>
                </c:pt>
                <c:pt idx="138">
                  <c:v>0</c:v>
                </c:pt>
                <c:pt idx="139">
                  <c:v>1349</c:v>
                </c:pt>
                <c:pt idx="140">
                  <c:v>634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139</c:v>
                </c:pt>
                <c:pt idx="150">
                  <c:v>1081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328</c:v>
                </c:pt>
                <c:pt idx="155">
                  <c:v>2</c:v>
                </c:pt>
                <c:pt idx="156">
                  <c:v>2310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11</c:v>
                </c:pt>
                <c:pt idx="162">
                  <c:v>412</c:v>
                </c:pt>
                <c:pt idx="163">
                  <c:v>2381</c:v>
                </c:pt>
                <c:pt idx="164">
                  <c:v>0</c:v>
                </c:pt>
                <c:pt idx="165">
                  <c:v>38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344</c:v>
                </c:pt>
                <c:pt idx="171">
                  <c:v>0</c:v>
                </c:pt>
                <c:pt idx="172">
                  <c:v>0</c:v>
                </c:pt>
                <c:pt idx="173">
                  <c:v>1068</c:v>
                </c:pt>
                <c:pt idx="174">
                  <c:v>3113</c:v>
                </c:pt>
                <c:pt idx="175">
                  <c:v>844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111</c:v>
                </c:pt>
                <c:pt idx="196">
                  <c:v>1119</c:v>
                </c:pt>
                <c:pt idx="197">
                  <c:v>138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31</c:v>
                </c:pt>
                <c:pt idx="203">
                  <c:v>488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13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32</c:v>
                </c:pt>
                <c:pt idx="214">
                  <c:v>1</c:v>
                </c:pt>
                <c:pt idx="215">
                  <c:v>1</c:v>
                </c:pt>
                <c:pt idx="216">
                  <c:v>6</c:v>
                </c:pt>
                <c:pt idx="217">
                  <c:v>6647</c:v>
                </c:pt>
                <c:pt idx="218">
                  <c:v>0</c:v>
                </c:pt>
                <c:pt idx="219">
                  <c:v>253</c:v>
                </c:pt>
                <c:pt idx="220">
                  <c:v>0</c:v>
                </c:pt>
                <c:pt idx="221">
                  <c:v>198</c:v>
                </c:pt>
              </c:numCache>
            </c:numRef>
          </c:xVal>
          <c:yVal>
            <c:numRef>
              <c:f>'46421-0002'!$I$8:$I$230</c:f>
            </c:numRef>
          </c:yVal>
          <c:smooth val="0"/>
          <c:extLst>
            <c:ext xmlns:c16="http://schemas.microsoft.com/office/drawing/2014/chart" uri="{C3380CC4-5D6E-409C-BE32-E72D297353CC}">
              <c16:uniqueId val="{00000006-7261-4E6D-A02E-4246D74D2FB7}"/>
            </c:ext>
          </c:extLst>
        </c:ser>
        <c:ser>
          <c:idx val="7"/>
          <c:order val="7"/>
          <c:tx>
            <c:strRef>
              <c:f>'46421-0002'!$J$7</c:f>
              <c:strCache>
                <c:ptCount val="1"/>
                <c:pt idx="0">
                  <c:v>F0FDH Friedrichshafen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</a:ln>
            <a:effectLst>
              <a:glow rad="139700">
                <a:schemeClr val="accent2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'46421-0002'!$B$8:$B$230</c:f>
              <c:numCache>
                <c:formatCode>General</c:formatCode>
                <c:ptCount val="222"/>
                <c:pt idx="0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2039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268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867</c:v>
                </c:pt>
                <c:pt idx="38">
                  <c:v>4964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</c:v>
                </c:pt>
                <c:pt idx="50">
                  <c:v>2453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1185</c:v>
                </c:pt>
                <c:pt idx="60">
                  <c:v>279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5</c:v>
                </c:pt>
                <c:pt idx="74">
                  <c:v>104</c:v>
                </c:pt>
                <c:pt idx="75">
                  <c:v>697</c:v>
                </c:pt>
                <c:pt idx="76">
                  <c:v>282</c:v>
                </c:pt>
                <c:pt idx="77">
                  <c:v>875</c:v>
                </c:pt>
                <c:pt idx="78">
                  <c:v>4630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13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135</c:v>
                </c:pt>
                <c:pt idx="99">
                  <c:v>200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373</c:v>
                </c:pt>
                <c:pt idx="105">
                  <c:v>172</c:v>
                </c:pt>
                <c:pt idx="106">
                  <c:v>0</c:v>
                </c:pt>
                <c:pt idx="107">
                  <c:v>1</c:v>
                </c:pt>
                <c:pt idx="108">
                  <c:v>66</c:v>
                </c:pt>
                <c:pt idx="109">
                  <c:v>13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92</c:v>
                </c:pt>
                <c:pt idx="117">
                  <c:v>0</c:v>
                </c:pt>
                <c:pt idx="118">
                  <c:v>71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83</c:v>
                </c:pt>
                <c:pt idx="123">
                  <c:v>0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36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1378</c:v>
                </c:pt>
                <c:pt idx="137">
                  <c:v>0</c:v>
                </c:pt>
                <c:pt idx="138">
                  <c:v>0</c:v>
                </c:pt>
                <c:pt idx="139">
                  <c:v>1349</c:v>
                </c:pt>
                <c:pt idx="140">
                  <c:v>634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139</c:v>
                </c:pt>
                <c:pt idx="150">
                  <c:v>1081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328</c:v>
                </c:pt>
                <c:pt idx="155">
                  <c:v>2</c:v>
                </c:pt>
                <c:pt idx="156">
                  <c:v>2310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11</c:v>
                </c:pt>
                <c:pt idx="162">
                  <c:v>412</c:v>
                </c:pt>
                <c:pt idx="163">
                  <c:v>2381</c:v>
                </c:pt>
                <c:pt idx="164">
                  <c:v>0</c:v>
                </c:pt>
                <c:pt idx="165">
                  <c:v>38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344</c:v>
                </c:pt>
                <c:pt idx="171">
                  <c:v>0</c:v>
                </c:pt>
                <c:pt idx="172">
                  <c:v>0</c:v>
                </c:pt>
                <c:pt idx="173">
                  <c:v>1068</c:v>
                </c:pt>
                <c:pt idx="174">
                  <c:v>3113</c:v>
                </c:pt>
                <c:pt idx="175">
                  <c:v>844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111</c:v>
                </c:pt>
                <c:pt idx="196">
                  <c:v>1119</c:v>
                </c:pt>
                <c:pt idx="197">
                  <c:v>138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31</c:v>
                </c:pt>
                <c:pt idx="203">
                  <c:v>488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13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32</c:v>
                </c:pt>
                <c:pt idx="214">
                  <c:v>1</c:v>
                </c:pt>
                <c:pt idx="215">
                  <c:v>1</c:v>
                </c:pt>
                <c:pt idx="216">
                  <c:v>6</c:v>
                </c:pt>
                <c:pt idx="217">
                  <c:v>6647</c:v>
                </c:pt>
                <c:pt idx="218">
                  <c:v>0</c:v>
                </c:pt>
                <c:pt idx="219">
                  <c:v>253</c:v>
                </c:pt>
                <c:pt idx="220">
                  <c:v>0</c:v>
                </c:pt>
                <c:pt idx="221">
                  <c:v>198</c:v>
                </c:pt>
              </c:numCache>
            </c:numRef>
          </c:xVal>
          <c:yVal>
            <c:numRef>
              <c:f>'46421-0002'!$J$8:$J$230</c:f>
            </c:numRef>
          </c:yVal>
          <c:smooth val="0"/>
          <c:extLst>
            <c:ext xmlns:c16="http://schemas.microsoft.com/office/drawing/2014/chart" uri="{C3380CC4-5D6E-409C-BE32-E72D297353CC}">
              <c16:uniqueId val="{00000007-7261-4E6D-A02E-4246D74D2FB7}"/>
            </c:ext>
          </c:extLst>
        </c:ser>
        <c:ser>
          <c:idx val="8"/>
          <c:order val="8"/>
          <c:tx>
            <c:strRef>
              <c:f>'46421-0002'!$K$7</c:f>
              <c:strCache>
                <c:ptCount val="1"/>
                <c:pt idx="0">
                  <c:v>F0HHN Hahn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</a:ln>
            <a:effectLst>
              <a:glow rad="139700">
                <a:schemeClr val="accent3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'46421-0002'!$B$8:$B$230</c:f>
              <c:numCache>
                <c:formatCode>General</c:formatCode>
                <c:ptCount val="222"/>
                <c:pt idx="0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2039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268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867</c:v>
                </c:pt>
                <c:pt idx="38">
                  <c:v>4964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</c:v>
                </c:pt>
                <c:pt idx="50">
                  <c:v>2453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1185</c:v>
                </c:pt>
                <c:pt idx="60">
                  <c:v>279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5</c:v>
                </c:pt>
                <c:pt idx="74">
                  <c:v>104</c:v>
                </c:pt>
                <c:pt idx="75">
                  <c:v>697</c:v>
                </c:pt>
                <c:pt idx="76">
                  <c:v>282</c:v>
                </c:pt>
                <c:pt idx="77">
                  <c:v>875</c:v>
                </c:pt>
                <c:pt idx="78">
                  <c:v>4630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13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135</c:v>
                </c:pt>
                <c:pt idx="99">
                  <c:v>200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373</c:v>
                </c:pt>
                <c:pt idx="105">
                  <c:v>172</c:v>
                </c:pt>
                <c:pt idx="106">
                  <c:v>0</c:v>
                </c:pt>
                <c:pt idx="107">
                  <c:v>1</c:v>
                </c:pt>
                <c:pt idx="108">
                  <c:v>66</c:v>
                </c:pt>
                <c:pt idx="109">
                  <c:v>13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92</c:v>
                </c:pt>
                <c:pt idx="117">
                  <c:v>0</c:v>
                </c:pt>
                <c:pt idx="118">
                  <c:v>71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83</c:v>
                </c:pt>
                <c:pt idx="123">
                  <c:v>0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36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1378</c:v>
                </c:pt>
                <c:pt idx="137">
                  <c:v>0</c:v>
                </c:pt>
                <c:pt idx="138">
                  <c:v>0</c:v>
                </c:pt>
                <c:pt idx="139">
                  <c:v>1349</c:v>
                </c:pt>
                <c:pt idx="140">
                  <c:v>634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139</c:v>
                </c:pt>
                <c:pt idx="150">
                  <c:v>1081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328</c:v>
                </c:pt>
                <c:pt idx="155">
                  <c:v>2</c:v>
                </c:pt>
                <c:pt idx="156">
                  <c:v>2310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11</c:v>
                </c:pt>
                <c:pt idx="162">
                  <c:v>412</c:v>
                </c:pt>
                <c:pt idx="163">
                  <c:v>2381</c:v>
                </c:pt>
                <c:pt idx="164">
                  <c:v>0</c:v>
                </c:pt>
                <c:pt idx="165">
                  <c:v>38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344</c:v>
                </c:pt>
                <c:pt idx="171">
                  <c:v>0</c:v>
                </c:pt>
                <c:pt idx="172">
                  <c:v>0</c:v>
                </c:pt>
                <c:pt idx="173">
                  <c:v>1068</c:v>
                </c:pt>
                <c:pt idx="174">
                  <c:v>3113</c:v>
                </c:pt>
                <c:pt idx="175">
                  <c:v>844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111</c:v>
                </c:pt>
                <c:pt idx="196">
                  <c:v>1119</c:v>
                </c:pt>
                <c:pt idx="197">
                  <c:v>138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31</c:v>
                </c:pt>
                <c:pt idx="203">
                  <c:v>488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13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32</c:v>
                </c:pt>
                <c:pt idx="214">
                  <c:v>1</c:v>
                </c:pt>
                <c:pt idx="215">
                  <c:v>1</c:v>
                </c:pt>
                <c:pt idx="216">
                  <c:v>6</c:v>
                </c:pt>
                <c:pt idx="217">
                  <c:v>6647</c:v>
                </c:pt>
                <c:pt idx="218">
                  <c:v>0</c:v>
                </c:pt>
                <c:pt idx="219">
                  <c:v>253</c:v>
                </c:pt>
                <c:pt idx="220">
                  <c:v>0</c:v>
                </c:pt>
                <c:pt idx="221">
                  <c:v>198</c:v>
                </c:pt>
              </c:numCache>
            </c:numRef>
          </c:xVal>
          <c:yVal>
            <c:numRef>
              <c:f>'46421-0002'!$K$8:$K$230</c:f>
            </c:numRef>
          </c:yVal>
          <c:smooth val="0"/>
          <c:extLst>
            <c:ext xmlns:c16="http://schemas.microsoft.com/office/drawing/2014/chart" uri="{C3380CC4-5D6E-409C-BE32-E72D297353CC}">
              <c16:uniqueId val="{00000008-7261-4E6D-A02E-4246D74D2FB7}"/>
            </c:ext>
          </c:extLst>
        </c:ser>
        <c:ser>
          <c:idx val="9"/>
          <c:order val="9"/>
          <c:tx>
            <c:strRef>
              <c:f>'46421-0002'!$L$7</c:f>
              <c:strCache>
                <c:ptCount val="1"/>
                <c:pt idx="0">
                  <c:v>F0HAM Hamburg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</a:ln>
            <a:effectLst>
              <a:glow rad="139700">
                <a:schemeClr val="accent4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'46421-0002'!$B$8:$B$230</c:f>
              <c:numCache>
                <c:formatCode>General</c:formatCode>
                <c:ptCount val="222"/>
                <c:pt idx="0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2039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268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867</c:v>
                </c:pt>
                <c:pt idx="38">
                  <c:v>4964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</c:v>
                </c:pt>
                <c:pt idx="50">
                  <c:v>2453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1185</c:v>
                </c:pt>
                <c:pt idx="60">
                  <c:v>279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5</c:v>
                </c:pt>
                <c:pt idx="74">
                  <c:v>104</c:v>
                </c:pt>
                <c:pt idx="75">
                  <c:v>697</c:v>
                </c:pt>
                <c:pt idx="76">
                  <c:v>282</c:v>
                </c:pt>
                <c:pt idx="77">
                  <c:v>875</c:v>
                </c:pt>
                <c:pt idx="78">
                  <c:v>4630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13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135</c:v>
                </c:pt>
                <c:pt idx="99">
                  <c:v>200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373</c:v>
                </c:pt>
                <c:pt idx="105">
                  <c:v>172</c:v>
                </c:pt>
                <c:pt idx="106">
                  <c:v>0</c:v>
                </c:pt>
                <c:pt idx="107">
                  <c:v>1</c:v>
                </c:pt>
                <c:pt idx="108">
                  <c:v>66</c:v>
                </c:pt>
                <c:pt idx="109">
                  <c:v>13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92</c:v>
                </c:pt>
                <c:pt idx="117">
                  <c:v>0</c:v>
                </c:pt>
                <c:pt idx="118">
                  <c:v>71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83</c:v>
                </c:pt>
                <c:pt idx="123">
                  <c:v>0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36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1378</c:v>
                </c:pt>
                <c:pt idx="137">
                  <c:v>0</c:v>
                </c:pt>
                <c:pt idx="138">
                  <c:v>0</c:v>
                </c:pt>
                <c:pt idx="139">
                  <c:v>1349</c:v>
                </c:pt>
                <c:pt idx="140">
                  <c:v>634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139</c:v>
                </c:pt>
                <c:pt idx="150">
                  <c:v>1081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328</c:v>
                </c:pt>
                <c:pt idx="155">
                  <c:v>2</c:v>
                </c:pt>
                <c:pt idx="156">
                  <c:v>2310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11</c:v>
                </c:pt>
                <c:pt idx="162">
                  <c:v>412</c:v>
                </c:pt>
                <c:pt idx="163">
                  <c:v>2381</c:v>
                </c:pt>
                <c:pt idx="164">
                  <c:v>0</c:v>
                </c:pt>
                <c:pt idx="165">
                  <c:v>38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344</c:v>
                </c:pt>
                <c:pt idx="171">
                  <c:v>0</c:v>
                </c:pt>
                <c:pt idx="172">
                  <c:v>0</c:v>
                </c:pt>
                <c:pt idx="173">
                  <c:v>1068</c:v>
                </c:pt>
                <c:pt idx="174">
                  <c:v>3113</c:v>
                </c:pt>
                <c:pt idx="175">
                  <c:v>844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111</c:v>
                </c:pt>
                <c:pt idx="196">
                  <c:v>1119</c:v>
                </c:pt>
                <c:pt idx="197">
                  <c:v>138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31</c:v>
                </c:pt>
                <c:pt idx="203">
                  <c:v>488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13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32</c:v>
                </c:pt>
                <c:pt idx="214">
                  <c:v>1</c:v>
                </c:pt>
                <c:pt idx="215">
                  <c:v>1</c:v>
                </c:pt>
                <c:pt idx="216">
                  <c:v>6</c:v>
                </c:pt>
                <c:pt idx="217">
                  <c:v>6647</c:v>
                </c:pt>
                <c:pt idx="218">
                  <c:v>0</c:v>
                </c:pt>
                <c:pt idx="219">
                  <c:v>253</c:v>
                </c:pt>
                <c:pt idx="220">
                  <c:v>0</c:v>
                </c:pt>
                <c:pt idx="221">
                  <c:v>198</c:v>
                </c:pt>
              </c:numCache>
            </c:numRef>
          </c:xVal>
          <c:yVal>
            <c:numRef>
              <c:f>'46421-0002'!$L$8:$L$230</c:f>
            </c:numRef>
          </c:yVal>
          <c:smooth val="0"/>
          <c:extLst>
            <c:ext xmlns:c16="http://schemas.microsoft.com/office/drawing/2014/chart" uri="{C3380CC4-5D6E-409C-BE32-E72D297353CC}">
              <c16:uniqueId val="{00000009-7261-4E6D-A02E-4246D74D2FB7}"/>
            </c:ext>
          </c:extLst>
        </c:ser>
        <c:ser>
          <c:idx val="10"/>
          <c:order val="10"/>
          <c:tx>
            <c:strRef>
              <c:f>'46421-0002'!$M$7</c:f>
              <c:strCache>
                <c:ptCount val="1"/>
                <c:pt idx="0">
                  <c:v>F0HAJ Hannover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</a:schemeClr>
              </a:solidFill>
            </a:ln>
            <a:effectLst>
              <a:glow rad="139700">
                <a:schemeClr val="accent5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'46421-0002'!$B$8:$B$230</c:f>
              <c:numCache>
                <c:formatCode>General</c:formatCode>
                <c:ptCount val="222"/>
                <c:pt idx="0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2039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268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867</c:v>
                </c:pt>
                <c:pt idx="38">
                  <c:v>4964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</c:v>
                </c:pt>
                <c:pt idx="50">
                  <c:v>2453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1185</c:v>
                </c:pt>
                <c:pt idx="60">
                  <c:v>279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5</c:v>
                </c:pt>
                <c:pt idx="74">
                  <c:v>104</c:v>
                </c:pt>
                <c:pt idx="75">
                  <c:v>697</c:v>
                </c:pt>
                <c:pt idx="76">
                  <c:v>282</c:v>
                </c:pt>
                <c:pt idx="77">
                  <c:v>875</c:v>
                </c:pt>
                <c:pt idx="78">
                  <c:v>4630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13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135</c:v>
                </c:pt>
                <c:pt idx="99">
                  <c:v>200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373</c:v>
                </c:pt>
                <c:pt idx="105">
                  <c:v>172</c:v>
                </c:pt>
                <c:pt idx="106">
                  <c:v>0</c:v>
                </c:pt>
                <c:pt idx="107">
                  <c:v>1</c:v>
                </c:pt>
                <c:pt idx="108">
                  <c:v>66</c:v>
                </c:pt>
                <c:pt idx="109">
                  <c:v>13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92</c:v>
                </c:pt>
                <c:pt idx="117">
                  <c:v>0</c:v>
                </c:pt>
                <c:pt idx="118">
                  <c:v>71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83</c:v>
                </c:pt>
                <c:pt idx="123">
                  <c:v>0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36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1378</c:v>
                </c:pt>
                <c:pt idx="137">
                  <c:v>0</c:v>
                </c:pt>
                <c:pt idx="138">
                  <c:v>0</c:v>
                </c:pt>
                <c:pt idx="139">
                  <c:v>1349</c:v>
                </c:pt>
                <c:pt idx="140">
                  <c:v>634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139</c:v>
                </c:pt>
                <c:pt idx="150">
                  <c:v>1081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328</c:v>
                </c:pt>
                <c:pt idx="155">
                  <c:v>2</c:v>
                </c:pt>
                <c:pt idx="156">
                  <c:v>2310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11</c:v>
                </c:pt>
                <c:pt idx="162">
                  <c:v>412</c:v>
                </c:pt>
                <c:pt idx="163">
                  <c:v>2381</c:v>
                </c:pt>
                <c:pt idx="164">
                  <c:v>0</c:v>
                </c:pt>
                <c:pt idx="165">
                  <c:v>38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344</c:v>
                </c:pt>
                <c:pt idx="171">
                  <c:v>0</c:v>
                </c:pt>
                <c:pt idx="172">
                  <c:v>0</c:v>
                </c:pt>
                <c:pt idx="173">
                  <c:v>1068</c:v>
                </c:pt>
                <c:pt idx="174">
                  <c:v>3113</c:v>
                </c:pt>
                <c:pt idx="175">
                  <c:v>844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111</c:v>
                </c:pt>
                <c:pt idx="196">
                  <c:v>1119</c:v>
                </c:pt>
                <c:pt idx="197">
                  <c:v>138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31</c:v>
                </c:pt>
                <c:pt idx="203">
                  <c:v>488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13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32</c:v>
                </c:pt>
                <c:pt idx="214">
                  <c:v>1</c:v>
                </c:pt>
                <c:pt idx="215">
                  <c:v>1</c:v>
                </c:pt>
                <c:pt idx="216">
                  <c:v>6</c:v>
                </c:pt>
                <c:pt idx="217">
                  <c:v>6647</c:v>
                </c:pt>
                <c:pt idx="218">
                  <c:v>0</c:v>
                </c:pt>
                <c:pt idx="219">
                  <c:v>253</c:v>
                </c:pt>
                <c:pt idx="220">
                  <c:v>0</c:v>
                </c:pt>
                <c:pt idx="221">
                  <c:v>198</c:v>
                </c:pt>
              </c:numCache>
            </c:numRef>
          </c:xVal>
          <c:yVal>
            <c:numRef>
              <c:f>'46421-0002'!$M$8:$M$230</c:f>
            </c:numRef>
          </c:yVal>
          <c:smooth val="0"/>
          <c:extLst>
            <c:ext xmlns:c16="http://schemas.microsoft.com/office/drawing/2014/chart" uri="{C3380CC4-5D6E-409C-BE32-E72D297353CC}">
              <c16:uniqueId val="{0000000A-7261-4E6D-A02E-4246D74D2FB7}"/>
            </c:ext>
          </c:extLst>
        </c:ser>
        <c:ser>
          <c:idx val="11"/>
          <c:order val="11"/>
          <c:tx>
            <c:strRef>
              <c:f>'46421-0002'!$N$7</c:f>
              <c:strCache>
                <c:ptCount val="1"/>
                <c:pt idx="0">
                  <c:v>F0FKB Karlsruhe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</a:schemeClr>
              </a:solidFill>
            </a:ln>
            <a:effectLst>
              <a:glow rad="139700">
                <a:schemeClr val="accent6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'46421-0002'!$B$8:$B$230</c:f>
              <c:numCache>
                <c:formatCode>General</c:formatCode>
                <c:ptCount val="222"/>
                <c:pt idx="0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2039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268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867</c:v>
                </c:pt>
                <c:pt idx="38">
                  <c:v>4964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</c:v>
                </c:pt>
                <c:pt idx="50">
                  <c:v>2453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1185</c:v>
                </c:pt>
                <c:pt idx="60">
                  <c:v>279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5</c:v>
                </c:pt>
                <c:pt idx="74">
                  <c:v>104</c:v>
                </c:pt>
                <c:pt idx="75">
                  <c:v>697</c:v>
                </c:pt>
                <c:pt idx="76">
                  <c:v>282</c:v>
                </c:pt>
                <c:pt idx="77">
                  <c:v>875</c:v>
                </c:pt>
                <c:pt idx="78">
                  <c:v>4630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13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135</c:v>
                </c:pt>
                <c:pt idx="99">
                  <c:v>200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373</c:v>
                </c:pt>
                <c:pt idx="105">
                  <c:v>172</c:v>
                </c:pt>
                <c:pt idx="106">
                  <c:v>0</c:v>
                </c:pt>
                <c:pt idx="107">
                  <c:v>1</c:v>
                </c:pt>
                <c:pt idx="108">
                  <c:v>66</c:v>
                </c:pt>
                <c:pt idx="109">
                  <c:v>13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92</c:v>
                </c:pt>
                <c:pt idx="117">
                  <c:v>0</c:v>
                </c:pt>
                <c:pt idx="118">
                  <c:v>71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83</c:v>
                </c:pt>
                <c:pt idx="123">
                  <c:v>0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36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1378</c:v>
                </c:pt>
                <c:pt idx="137">
                  <c:v>0</c:v>
                </c:pt>
                <c:pt idx="138">
                  <c:v>0</c:v>
                </c:pt>
                <c:pt idx="139">
                  <c:v>1349</c:v>
                </c:pt>
                <c:pt idx="140">
                  <c:v>634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139</c:v>
                </c:pt>
                <c:pt idx="150">
                  <c:v>1081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328</c:v>
                </c:pt>
                <c:pt idx="155">
                  <c:v>2</c:v>
                </c:pt>
                <c:pt idx="156">
                  <c:v>2310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11</c:v>
                </c:pt>
                <c:pt idx="162">
                  <c:v>412</c:v>
                </c:pt>
                <c:pt idx="163">
                  <c:v>2381</c:v>
                </c:pt>
                <c:pt idx="164">
                  <c:v>0</c:v>
                </c:pt>
                <c:pt idx="165">
                  <c:v>38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344</c:v>
                </c:pt>
                <c:pt idx="171">
                  <c:v>0</c:v>
                </c:pt>
                <c:pt idx="172">
                  <c:v>0</c:v>
                </c:pt>
                <c:pt idx="173">
                  <c:v>1068</c:v>
                </c:pt>
                <c:pt idx="174">
                  <c:v>3113</c:v>
                </c:pt>
                <c:pt idx="175">
                  <c:v>844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111</c:v>
                </c:pt>
                <c:pt idx="196">
                  <c:v>1119</c:v>
                </c:pt>
                <c:pt idx="197">
                  <c:v>138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31</c:v>
                </c:pt>
                <c:pt idx="203">
                  <c:v>488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13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32</c:v>
                </c:pt>
                <c:pt idx="214">
                  <c:v>1</c:v>
                </c:pt>
                <c:pt idx="215">
                  <c:v>1</c:v>
                </c:pt>
                <c:pt idx="216">
                  <c:v>6</c:v>
                </c:pt>
                <c:pt idx="217">
                  <c:v>6647</c:v>
                </c:pt>
                <c:pt idx="218">
                  <c:v>0</c:v>
                </c:pt>
                <c:pt idx="219">
                  <c:v>253</c:v>
                </c:pt>
                <c:pt idx="220">
                  <c:v>0</c:v>
                </c:pt>
                <c:pt idx="221">
                  <c:v>198</c:v>
                </c:pt>
              </c:numCache>
            </c:numRef>
          </c:xVal>
          <c:yVal>
            <c:numRef>
              <c:f>'46421-0002'!$N$8:$N$230</c:f>
            </c:numRef>
          </c:yVal>
          <c:smooth val="0"/>
          <c:extLst>
            <c:ext xmlns:c16="http://schemas.microsoft.com/office/drawing/2014/chart" uri="{C3380CC4-5D6E-409C-BE32-E72D297353CC}">
              <c16:uniqueId val="{0000000B-7261-4E6D-A02E-4246D74D2FB7}"/>
            </c:ext>
          </c:extLst>
        </c:ser>
        <c:ser>
          <c:idx val="12"/>
          <c:order val="12"/>
          <c:tx>
            <c:strRef>
              <c:f>'46421-0002'!$O$7</c:f>
              <c:strCache>
                <c:ptCount val="1"/>
                <c:pt idx="0">
                  <c:v>F0CGN Köln/Bonn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  <a:lumOff val="20000"/>
                </a:schemeClr>
              </a:solidFill>
            </a:ln>
            <a:effectLst>
              <a:glow rad="139700">
                <a:schemeClr val="accent1">
                  <a:lumMod val="80000"/>
                  <a:lumOff val="2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80000"/>
                  <a:lumOff val="2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lumMod val="80000"/>
                    <a:lumOff val="2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'46421-0002'!$B$8:$B$230</c:f>
              <c:numCache>
                <c:formatCode>General</c:formatCode>
                <c:ptCount val="222"/>
                <c:pt idx="0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2039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268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867</c:v>
                </c:pt>
                <c:pt idx="38">
                  <c:v>4964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</c:v>
                </c:pt>
                <c:pt idx="50">
                  <c:v>2453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1185</c:v>
                </c:pt>
                <c:pt idx="60">
                  <c:v>279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5</c:v>
                </c:pt>
                <c:pt idx="74">
                  <c:v>104</c:v>
                </c:pt>
                <c:pt idx="75">
                  <c:v>697</c:v>
                </c:pt>
                <c:pt idx="76">
                  <c:v>282</c:v>
                </c:pt>
                <c:pt idx="77">
                  <c:v>875</c:v>
                </c:pt>
                <c:pt idx="78">
                  <c:v>4630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13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135</c:v>
                </c:pt>
                <c:pt idx="99">
                  <c:v>200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373</c:v>
                </c:pt>
                <c:pt idx="105">
                  <c:v>172</c:v>
                </c:pt>
                <c:pt idx="106">
                  <c:v>0</c:v>
                </c:pt>
                <c:pt idx="107">
                  <c:v>1</c:v>
                </c:pt>
                <c:pt idx="108">
                  <c:v>66</c:v>
                </c:pt>
                <c:pt idx="109">
                  <c:v>13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92</c:v>
                </c:pt>
                <c:pt idx="117">
                  <c:v>0</c:v>
                </c:pt>
                <c:pt idx="118">
                  <c:v>71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83</c:v>
                </c:pt>
                <c:pt idx="123">
                  <c:v>0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36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1378</c:v>
                </c:pt>
                <c:pt idx="137">
                  <c:v>0</c:v>
                </c:pt>
                <c:pt idx="138">
                  <c:v>0</c:v>
                </c:pt>
                <c:pt idx="139">
                  <c:v>1349</c:v>
                </c:pt>
                <c:pt idx="140">
                  <c:v>634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139</c:v>
                </c:pt>
                <c:pt idx="150">
                  <c:v>1081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328</c:v>
                </c:pt>
                <c:pt idx="155">
                  <c:v>2</c:v>
                </c:pt>
                <c:pt idx="156">
                  <c:v>2310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11</c:v>
                </c:pt>
                <c:pt idx="162">
                  <c:v>412</c:v>
                </c:pt>
                <c:pt idx="163">
                  <c:v>2381</c:v>
                </c:pt>
                <c:pt idx="164">
                  <c:v>0</c:v>
                </c:pt>
                <c:pt idx="165">
                  <c:v>38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344</c:v>
                </c:pt>
                <c:pt idx="171">
                  <c:v>0</c:v>
                </c:pt>
                <c:pt idx="172">
                  <c:v>0</c:v>
                </c:pt>
                <c:pt idx="173">
                  <c:v>1068</c:v>
                </c:pt>
                <c:pt idx="174">
                  <c:v>3113</c:v>
                </c:pt>
                <c:pt idx="175">
                  <c:v>844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111</c:v>
                </c:pt>
                <c:pt idx="196">
                  <c:v>1119</c:v>
                </c:pt>
                <c:pt idx="197">
                  <c:v>138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31</c:v>
                </c:pt>
                <c:pt idx="203">
                  <c:v>488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13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32</c:v>
                </c:pt>
                <c:pt idx="214">
                  <c:v>1</c:v>
                </c:pt>
                <c:pt idx="215">
                  <c:v>1</c:v>
                </c:pt>
                <c:pt idx="216">
                  <c:v>6</c:v>
                </c:pt>
                <c:pt idx="217">
                  <c:v>6647</c:v>
                </c:pt>
                <c:pt idx="218">
                  <c:v>0</c:v>
                </c:pt>
                <c:pt idx="219">
                  <c:v>253</c:v>
                </c:pt>
                <c:pt idx="220">
                  <c:v>0</c:v>
                </c:pt>
                <c:pt idx="221">
                  <c:v>198</c:v>
                </c:pt>
              </c:numCache>
            </c:numRef>
          </c:xVal>
          <c:yVal>
            <c:numRef>
              <c:f>'46421-0002'!$O$8:$O$230</c:f>
            </c:numRef>
          </c:yVal>
          <c:smooth val="0"/>
          <c:extLst>
            <c:ext xmlns:c16="http://schemas.microsoft.com/office/drawing/2014/chart" uri="{C3380CC4-5D6E-409C-BE32-E72D297353CC}">
              <c16:uniqueId val="{0000000C-7261-4E6D-A02E-4246D74D2FB7}"/>
            </c:ext>
          </c:extLst>
        </c:ser>
        <c:ser>
          <c:idx val="13"/>
          <c:order val="13"/>
          <c:tx>
            <c:strRef>
              <c:f>'46421-0002'!$P$7</c:f>
              <c:strCache>
                <c:ptCount val="1"/>
                <c:pt idx="0">
                  <c:v>F0LEJ Leipzig/Halle</c:v>
                </c:pt>
              </c:strCache>
            </c:strRef>
          </c:tx>
          <c:spPr>
            <a:ln w="22225" cap="rnd">
              <a:solidFill>
                <a:schemeClr val="accent2">
                  <a:lumMod val="80000"/>
                  <a:lumOff val="20000"/>
                </a:schemeClr>
              </a:solidFill>
            </a:ln>
            <a:effectLst>
              <a:glow rad="139700">
                <a:schemeClr val="accent2">
                  <a:lumMod val="80000"/>
                  <a:lumOff val="2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80000"/>
                  <a:lumOff val="2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lumMod val="80000"/>
                    <a:lumOff val="2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'46421-0002'!$B$8:$B$230</c:f>
              <c:numCache>
                <c:formatCode>General</c:formatCode>
                <c:ptCount val="222"/>
                <c:pt idx="0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2039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268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867</c:v>
                </c:pt>
                <c:pt idx="38">
                  <c:v>4964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</c:v>
                </c:pt>
                <c:pt idx="50">
                  <c:v>2453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1185</c:v>
                </c:pt>
                <c:pt idx="60">
                  <c:v>279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5</c:v>
                </c:pt>
                <c:pt idx="74">
                  <c:v>104</c:v>
                </c:pt>
                <c:pt idx="75">
                  <c:v>697</c:v>
                </c:pt>
                <c:pt idx="76">
                  <c:v>282</c:v>
                </c:pt>
                <c:pt idx="77">
                  <c:v>875</c:v>
                </c:pt>
                <c:pt idx="78">
                  <c:v>4630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13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135</c:v>
                </c:pt>
                <c:pt idx="99">
                  <c:v>200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373</c:v>
                </c:pt>
                <c:pt idx="105">
                  <c:v>172</c:v>
                </c:pt>
                <c:pt idx="106">
                  <c:v>0</c:v>
                </c:pt>
                <c:pt idx="107">
                  <c:v>1</c:v>
                </c:pt>
                <c:pt idx="108">
                  <c:v>66</c:v>
                </c:pt>
                <c:pt idx="109">
                  <c:v>13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92</c:v>
                </c:pt>
                <c:pt idx="117">
                  <c:v>0</c:v>
                </c:pt>
                <c:pt idx="118">
                  <c:v>71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83</c:v>
                </c:pt>
                <c:pt idx="123">
                  <c:v>0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36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1378</c:v>
                </c:pt>
                <c:pt idx="137">
                  <c:v>0</c:v>
                </c:pt>
                <c:pt idx="138">
                  <c:v>0</c:v>
                </c:pt>
                <c:pt idx="139">
                  <c:v>1349</c:v>
                </c:pt>
                <c:pt idx="140">
                  <c:v>634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139</c:v>
                </c:pt>
                <c:pt idx="150">
                  <c:v>1081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328</c:v>
                </c:pt>
                <c:pt idx="155">
                  <c:v>2</c:v>
                </c:pt>
                <c:pt idx="156">
                  <c:v>2310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11</c:v>
                </c:pt>
                <c:pt idx="162">
                  <c:v>412</c:v>
                </c:pt>
                <c:pt idx="163">
                  <c:v>2381</c:v>
                </c:pt>
                <c:pt idx="164">
                  <c:v>0</c:v>
                </c:pt>
                <c:pt idx="165">
                  <c:v>38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344</c:v>
                </c:pt>
                <c:pt idx="171">
                  <c:v>0</c:v>
                </c:pt>
                <c:pt idx="172">
                  <c:v>0</c:v>
                </c:pt>
                <c:pt idx="173">
                  <c:v>1068</c:v>
                </c:pt>
                <c:pt idx="174">
                  <c:v>3113</c:v>
                </c:pt>
                <c:pt idx="175">
                  <c:v>844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111</c:v>
                </c:pt>
                <c:pt idx="196">
                  <c:v>1119</c:v>
                </c:pt>
                <c:pt idx="197">
                  <c:v>138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31</c:v>
                </c:pt>
                <c:pt idx="203">
                  <c:v>488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13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32</c:v>
                </c:pt>
                <c:pt idx="214">
                  <c:v>1</c:v>
                </c:pt>
                <c:pt idx="215">
                  <c:v>1</c:v>
                </c:pt>
                <c:pt idx="216">
                  <c:v>6</c:v>
                </c:pt>
                <c:pt idx="217">
                  <c:v>6647</c:v>
                </c:pt>
                <c:pt idx="218">
                  <c:v>0</c:v>
                </c:pt>
                <c:pt idx="219">
                  <c:v>253</c:v>
                </c:pt>
                <c:pt idx="220">
                  <c:v>0</c:v>
                </c:pt>
                <c:pt idx="221">
                  <c:v>198</c:v>
                </c:pt>
              </c:numCache>
            </c:numRef>
          </c:xVal>
          <c:yVal>
            <c:numRef>
              <c:f>'46421-0002'!$P$8:$P$230</c:f>
            </c:numRef>
          </c:yVal>
          <c:smooth val="0"/>
          <c:extLst>
            <c:ext xmlns:c16="http://schemas.microsoft.com/office/drawing/2014/chart" uri="{C3380CC4-5D6E-409C-BE32-E72D297353CC}">
              <c16:uniqueId val="{0000000D-7261-4E6D-A02E-4246D74D2FB7}"/>
            </c:ext>
          </c:extLst>
        </c:ser>
        <c:ser>
          <c:idx val="14"/>
          <c:order val="14"/>
          <c:tx>
            <c:strRef>
              <c:f>'46421-0002'!$Q$7</c:f>
              <c:strCache>
                <c:ptCount val="1"/>
                <c:pt idx="0">
                  <c:v>F0LBC Lübeck</c:v>
                </c:pt>
              </c:strCache>
            </c:strRef>
          </c:tx>
          <c:spPr>
            <a:ln w="22225" cap="rnd">
              <a:solidFill>
                <a:schemeClr val="accent3">
                  <a:lumMod val="80000"/>
                  <a:lumOff val="20000"/>
                </a:schemeClr>
              </a:solidFill>
            </a:ln>
            <a:effectLst>
              <a:glow rad="139700">
                <a:schemeClr val="accent3">
                  <a:lumMod val="80000"/>
                  <a:lumOff val="2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80000"/>
                  <a:lumOff val="2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lumMod val="80000"/>
                    <a:lumOff val="2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'46421-0002'!$B$8:$B$230</c:f>
              <c:numCache>
                <c:formatCode>General</c:formatCode>
                <c:ptCount val="222"/>
                <c:pt idx="0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2039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268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867</c:v>
                </c:pt>
                <c:pt idx="38">
                  <c:v>4964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</c:v>
                </c:pt>
                <c:pt idx="50">
                  <c:v>2453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1185</c:v>
                </c:pt>
                <c:pt idx="60">
                  <c:v>279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5</c:v>
                </c:pt>
                <c:pt idx="74">
                  <c:v>104</c:v>
                </c:pt>
                <c:pt idx="75">
                  <c:v>697</c:v>
                </c:pt>
                <c:pt idx="76">
                  <c:v>282</c:v>
                </c:pt>
                <c:pt idx="77">
                  <c:v>875</c:v>
                </c:pt>
                <c:pt idx="78">
                  <c:v>4630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13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135</c:v>
                </c:pt>
                <c:pt idx="99">
                  <c:v>200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373</c:v>
                </c:pt>
                <c:pt idx="105">
                  <c:v>172</c:v>
                </c:pt>
                <c:pt idx="106">
                  <c:v>0</c:v>
                </c:pt>
                <c:pt idx="107">
                  <c:v>1</c:v>
                </c:pt>
                <c:pt idx="108">
                  <c:v>66</c:v>
                </c:pt>
                <c:pt idx="109">
                  <c:v>13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92</c:v>
                </c:pt>
                <c:pt idx="117">
                  <c:v>0</c:v>
                </c:pt>
                <c:pt idx="118">
                  <c:v>71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83</c:v>
                </c:pt>
                <c:pt idx="123">
                  <c:v>0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36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1378</c:v>
                </c:pt>
                <c:pt idx="137">
                  <c:v>0</c:v>
                </c:pt>
                <c:pt idx="138">
                  <c:v>0</c:v>
                </c:pt>
                <c:pt idx="139">
                  <c:v>1349</c:v>
                </c:pt>
                <c:pt idx="140">
                  <c:v>634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139</c:v>
                </c:pt>
                <c:pt idx="150">
                  <c:v>1081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328</c:v>
                </c:pt>
                <c:pt idx="155">
                  <c:v>2</c:v>
                </c:pt>
                <c:pt idx="156">
                  <c:v>2310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11</c:v>
                </c:pt>
                <c:pt idx="162">
                  <c:v>412</c:v>
                </c:pt>
                <c:pt idx="163">
                  <c:v>2381</c:v>
                </c:pt>
                <c:pt idx="164">
                  <c:v>0</c:v>
                </c:pt>
                <c:pt idx="165">
                  <c:v>38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344</c:v>
                </c:pt>
                <c:pt idx="171">
                  <c:v>0</c:v>
                </c:pt>
                <c:pt idx="172">
                  <c:v>0</c:v>
                </c:pt>
                <c:pt idx="173">
                  <c:v>1068</c:v>
                </c:pt>
                <c:pt idx="174">
                  <c:v>3113</c:v>
                </c:pt>
                <c:pt idx="175">
                  <c:v>844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111</c:v>
                </c:pt>
                <c:pt idx="196">
                  <c:v>1119</c:v>
                </c:pt>
                <c:pt idx="197">
                  <c:v>138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31</c:v>
                </c:pt>
                <c:pt idx="203">
                  <c:v>488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13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32</c:v>
                </c:pt>
                <c:pt idx="214">
                  <c:v>1</c:v>
                </c:pt>
                <c:pt idx="215">
                  <c:v>1</c:v>
                </c:pt>
                <c:pt idx="216">
                  <c:v>6</c:v>
                </c:pt>
                <c:pt idx="217">
                  <c:v>6647</c:v>
                </c:pt>
                <c:pt idx="218">
                  <c:v>0</c:v>
                </c:pt>
                <c:pt idx="219">
                  <c:v>253</c:v>
                </c:pt>
                <c:pt idx="220">
                  <c:v>0</c:v>
                </c:pt>
                <c:pt idx="221">
                  <c:v>198</c:v>
                </c:pt>
              </c:numCache>
            </c:numRef>
          </c:xVal>
          <c:yVal>
            <c:numRef>
              <c:f>'46421-0002'!$Q$8:$Q$230</c:f>
            </c:numRef>
          </c:yVal>
          <c:smooth val="0"/>
          <c:extLst>
            <c:ext xmlns:c16="http://schemas.microsoft.com/office/drawing/2014/chart" uri="{C3380CC4-5D6E-409C-BE32-E72D297353CC}">
              <c16:uniqueId val="{0000000E-7261-4E6D-A02E-4246D74D2FB7}"/>
            </c:ext>
          </c:extLst>
        </c:ser>
        <c:ser>
          <c:idx val="15"/>
          <c:order val="15"/>
          <c:tx>
            <c:strRef>
              <c:f>'46421-0002'!$R$7</c:f>
              <c:strCache>
                <c:ptCount val="1"/>
                <c:pt idx="0">
                  <c:v>F0FMM Memmingen</c:v>
                </c:pt>
              </c:strCache>
            </c:strRef>
          </c:tx>
          <c:spPr>
            <a:ln w="22225" cap="rnd">
              <a:solidFill>
                <a:schemeClr val="accent4">
                  <a:lumMod val="80000"/>
                  <a:lumOff val="20000"/>
                </a:schemeClr>
              </a:solidFill>
            </a:ln>
            <a:effectLst>
              <a:glow rad="139700">
                <a:schemeClr val="accent4">
                  <a:lumMod val="80000"/>
                  <a:lumOff val="2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80000"/>
                  <a:lumOff val="2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lumMod val="80000"/>
                    <a:lumOff val="2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'46421-0002'!$B$8:$B$230</c:f>
              <c:numCache>
                <c:formatCode>General</c:formatCode>
                <c:ptCount val="222"/>
                <c:pt idx="0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2039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268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867</c:v>
                </c:pt>
                <c:pt idx="38">
                  <c:v>4964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</c:v>
                </c:pt>
                <c:pt idx="50">
                  <c:v>2453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1185</c:v>
                </c:pt>
                <c:pt idx="60">
                  <c:v>279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5</c:v>
                </c:pt>
                <c:pt idx="74">
                  <c:v>104</c:v>
                </c:pt>
                <c:pt idx="75">
                  <c:v>697</c:v>
                </c:pt>
                <c:pt idx="76">
                  <c:v>282</c:v>
                </c:pt>
                <c:pt idx="77">
                  <c:v>875</c:v>
                </c:pt>
                <c:pt idx="78">
                  <c:v>4630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13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135</c:v>
                </c:pt>
                <c:pt idx="99">
                  <c:v>200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373</c:v>
                </c:pt>
                <c:pt idx="105">
                  <c:v>172</c:v>
                </c:pt>
                <c:pt idx="106">
                  <c:v>0</c:v>
                </c:pt>
                <c:pt idx="107">
                  <c:v>1</c:v>
                </c:pt>
                <c:pt idx="108">
                  <c:v>66</c:v>
                </c:pt>
                <c:pt idx="109">
                  <c:v>13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92</c:v>
                </c:pt>
                <c:pt idx="117">
                  <c:v>0</c:v>
                </c:pt>
                <c:pt idx="118">
                  <c:v>71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83</c:v>
                </c:pt>
                <c:pt idx="123">
                  <c:v>0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36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1378</c:v>
                </c:pt>
                <c:pt idx="137">
                  <c:v>0</c:v>
                </c:pt>
                <c:pt idx="138">
                  <c:v>0</c:v>
                </c:pt>
                <c:pt idx="139">
                  <c:v>1349</c:v>
                </c:pt>
                <c:pt idx="140">
                  <c:v>634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139</c:v>
                </c:pt>
                <c:pt idx="150">
                  <c:v>1081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328</c:v>
                </c:pt>
                <c:pt idx="155">
                  <c:v>2</c:v>
                </c:pt>
                <c:pt idx="156">
                  <c:v>2310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11</c:v>
                </c:pt>
                <c:pt idx="162">
                  <c:v>412</c:v>
                </c:pt>
                <c:pt idx="163">
                  <c:v>2381</c:v>
                </c:pt>
                <c:pt idx="164">
                  <c:v>0</c:v>
                </c:pt>
                <c:pt idx="165">
                  <c:v>38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344</c:v>
                </c:pt>
                <c:pt idx="171">
                  <c:v>0</c:v>
                </c:pt>
                <c:pt idx="172">
                  <c:v>0</c:v>
                </c:pt>
                <c:pt idx="173">
                  <c:v>1068</c:v>
                </c:pt>
                <c:pt idx="174">
                  <c:v>3113</c:v>
                </c:pt>
                <c:pt idx="175">
                  <c:v>844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111</c:v>
                </c:pt>
                <c:pt idx="196">
                  <c:v>1119</c:v>
                </c:pt>
                <c:pt idx="197">
                  <c:v>138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31</c:v>
                </c:pt>
                <c:pt idx="203">
                  <c:v>488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13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32</c:v>
                </c:pt>
                <c:pt idx="214">
                  <c:v>1</c:v>
                </c:pt>
                <c:pt idx="215">
                  <c:v>1</c:v>
                </c:pt>
                <c:pt idx="216">
                  <c:v>6</c:v>
                </c:pt>
                <c:pt idx="217">
                  <c:v>6647</c:v>
                </c:pt>
                <c:pt idx="218">
                  <c:v>0</c:v>
                </c:pt>
                <c:pt idx="219">
                  <c:v>253</c:v>
                </c:pt>
                <c:pt idx="220">
                  <c:v>0</c:v>
                </c:pt>
                <c:pt idx="221">
                  <c:v>198</c:v>
                </c:pt>
              </c:numCache>
            </c:numRef>
          </c:xVal>
          <c:yVal>
            <c:numRef>
              <c:f>'46421-0002'!$R$8:$R$230</c:f>
            </c:numRef>
          </c:yVal>
          <c:smooth val="0"/>
          <c:extLst>
            <c:ext xmlns:c16="http://schemas.microsoft.com/office/drawing/2014/chart" uri="{C3380CC4-5D6E-409C-BE32-E72D297353CC}">
              <c16:uniqueId val="{0000000F-7261-4E6D-A02E-4246D74D2FB7}"/>
            </c:ext>
          </c:extLst>
        </c:ser>
        <c:ser>
          <c:idx val="16"/>
          <c:order val="16"/>
          <c:tx>
            <c:strRef>
              <c:f>'46421-0002'!$S$7</c:f>
              <c:strCache>
                <c:ptCount val="1"/>
                <c:pt idx="0">
                  <c:v>F0MUC München</c:v>
                </c:pt>
              </c:strCache>
            </c:strRef>
          </c:tx>
          <c:spPr>
            <a:ln w="22225" cap="rnd">
              <a:solidFill>
                <a:schemeClr val="accent5">
                  <a:lumMod val="80000"/>
                  <a:lumOff val="20000"/>
                </a:schemeClr>
              </a:solidFill>
            </a:ln>
            <a:effectLst>
              <a:glow rad="139700">
                <a:schemeClr val="accent5">
                  <a:lumMod val="80000"/>
                  <a:lumOff val="2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80000"/>
                  <a:lumOff val="2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lumMod val="80000"/>
                    <a:lumOff val="2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'46421-0002'!$B$8:$B$230</c:f>
              <c:numCache>
                <c:formatCode>General</c:formatCode>
                <c:ptCount val="222"/>
                <c:pt idx="0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2039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268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867</c:v>
                </c:pt>
                <c:pt idx="38">
                  <c:v>4964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</c:v>
                </c:pt>
                <c:pt idx="50">
                  <c:v>2453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1185</c:v>
                </c:pt>
                <c:pt idx="60">
                  <c:v>279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5</c:v>
                </c:pt>
                <c:pt idx="74">
                  <c:v>104</c:v>
                </c:pt>
                <c:pt idx="75">
                  <c:v>697</c:v>
                </c:pt>
                <c:pt idx="76">
                  <c:v>282</c:v>
                </c:pt>
                <c:pt idx="77">
                  <c:v>875</c:v>
                </c:pt>
                <c:pt idx="78">
                  <c:v>4630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13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135</c:v>
                </c:pt>
                <c:pt idx="99">
                  <c:v>200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373</c:v>
                </c:pt>
                <c:pt idx="105">
                  <c:v>172</c:v>
                </c:pt>
                <c:pt idx="106">
                  <c:v>0</c:v>
                </c:pt>
                <c:pt idx="107">
                  <c:v>1</c:v>
                </c:pt>
                <c:pt idx="108">
                  <c:v>66</c:v>
                </c:pt>
                <c:pt idx="109">
                  <c:v>13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92</c:v>
                </c:pt>
                <c:pt idx="117">
                  <c:v>0</c:v>
                </c:pt>
                <c:pt idx="118">
                  <c:v>71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83</c:v>
                </c:pt>
                <c:pt idx="123">
                  <c:v>0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36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1378</c:v>
                </c:pt>
                <c:pt idx="137">
                  <c:v>0</c:v>
                </c:pt>
                <c:pt idx="138">
                  <c:v>0</c:v>
                </c:pt>
                <c:pt idx="139">
                  <c:v>1349</c:v>
                </c:pt>
                <c:pt idx="140">
                  <c:v>634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139</c:v>
                </c:pt>
                <c:pt idx="150">
                  <c:v>1081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328</c:v>
                </c:pt>
                <c:pt idx="155">
                  <c:v>2</c:v>
                </c:pt>
                <c:pt idx="156">
                  <c:v>2310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11</c:v>
                </c:pt>
                <c:pt idx="162">
                  <c:v>412</c:v>
                </c:pt>
                <c:pt idx="163">
                  <c:v>2381</c:v>
                </c:pt>
                <c:pt idx="164">
                  <c:v>0</c:v>
                </c:pt>
                <c:pt idx="165">
                  <c:v>38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344</c:v>
                </c:pt>
                <c:pt idx="171">
                  <c:v>0</c:v>
                </c:pt>
                <c:pt idx="172">
                  <c:v>0</c:v>
                </c:pt>
                <c:pt idx="173">
                  <c:v>1068</c:v>
                </c:pt>
                <c:pt idx="174">
                  <c:v>3113</c:v>
                </c:pt>
                <c:pt idx="175">
                  <c:v>844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111</c:v>
                </c:pt>
                <c:pt idx="196">
                  <c:v>1119</c:v>
                </c:pt>
                <c:pt idx="197">
                  <c:v>138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31</c:v>
                </c:pt>
                <c:pt idx="203">
                  <c:v>488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13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32</c:v>
                </c:pt>
                <c:pt idx="214">
                  <c:v>1</c:v>
                </c:pt>
                <c:pt idx="215">
                  <c:v>1</c:v>
                </c:pt>
                <c:pt idx="216">
                  <c:v>6</c:v>
                </c:pt>
                <c:pt idx="217">
                  <c:v>6647</c:v>
                </c:pt>
                <c:pt idx="218">
                  <c:v>0</c:v>
                </c:pt>
                <c:pt idx="219">
                  <c:v>253</c:v>
                </c:pt>
                <c:pt idx="220">
                  <c:v>0</c:v>
                </c:pt>
                <c:pt idx="221">
                  <c:v>198</c:v>
                </c:pt>
              </c:numCache>
            </c:numRef>
          </c:xVal>
          <c:yVal>
            <c:numRef>
              <c:f>'46421-0002'!$S$8:$S$230</c:f>
            </c:numRef>
          </c:yVal>
          <c:smooth val="0"/>
          <c:extLst>
            <c:ext xmlns:c16="http://schemas.microsoft.com/office/drawing/2014/chart" uri="{C3380CC4-5D6E-409C-BE32-E72D297353CC}">
              <c16:uniqueId val="{00000010-7261-4E6D-A02E-4246D74D2FB7}"/>
            </c:ext>
          </c:extLst>
        </c:ser>
        <c:ser>
          <c:idx val="17"/>
          <c:order val="17"/>
          <c:tx>
            <c:strRef>
              <c:f>'46421-0002'!$T$7</c:f>
              <c:strCache>
                <c:ptCount val="1"/>
                <c:pt idx="0">
                  <c:v>F0FMO Münster/Osnabrück</c:v>
                </c:pt>
              </c:strCache>
            </c:strRef>
          </c:tx>
          <c:spPr>
            <a:ln w="22225" cap="rnd">
              <a:solidFill>
                <a:schemeClr val="accent6">
                  <a:lumMod val="80000"/>
                  <a:lumOff val="20000"/>
                </a:schemeClr>
              </a:solidFill>
            </a:ln>
            <a:effectLst>
              <a:glow rad="139700">
                <a:schemeClr val="accent6">
                  <a:lumMod val="80000"/>
                  <a:lumOff val="2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80000"/>
                  <a:lumOff val="2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lumMod val="80000"/>
                    <a:lumOff val="2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'46421-0002'!$B$8:$B$230</c:f>
              <c:numCache>
                <c:formatCode>General</c:formatCode>
                <c:ptCount val="222"/>
                <c:pt idx="0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2039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268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867</c:v>
                </c:pt>
                <c:pt idx="38">
                  <c:v>4964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</c:v>
                </c:pt>
                <c:pt idx="50">
                  <c:v>2453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1185</c:v>
                </c:pt>
                <c:pt idx="60">
                  <c:v>279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5</c:v>
                </c:pt>
                <c:pt idx="74">
                  <c:v>104</c:v>
                </c:pt>
                <c:pt idx="75">
                  <c:v>697</c:v>
                </c:pt>
                <c:pt idx="76">
                  <c:v>282</c:v>
                </c:pt>
                <c:pt idx="77">
                  <c:v>875</c:v>
                </c:pt>
                <c:pt idx="78">
                  <c:v>4630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13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135</c:v>
                </c:pt>
                <c:pt idx="99">
                  <c:v>200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373</c:v>
                </c:pt>
                <c:pt idx="105">
                  <c:v>172</c:v>
                </c:pt>
                <c:pt idx="106">
                  <c:v>0</c:v>
                </c:pt>
                <c:pt idx="107">
                  <c:v>1</c:v>
                </c:pt>
                <c:pt idx="108">
                  <c:v>66</c:v>
                </c:pt>
                <c:pt idx="109">
                  <c:v>13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92</c:v>
                </c:pt>
                <c:pt idx="117">
                  <c:v>0</c:v>
                </c:pt>
                <c:pt idx="118">
                  <c:v>71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83</c:v>
                </c:pt>
                <c:pt idx="123">
                  <c:v>0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36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1378</c:v>
                </c:pt>
                <c:pt idx="137">
                  <c:v>0</c:v>
                </c:pt>
                <c:pt idx="138">
                  <c:v>0</c:v>
                </c:pt>
                <c:pt idx="139">
                  <c:v>1349</c:v>
                </c:pt>
                <c:pt idx="140">
                  <c:v>634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139</c:v>
                </c:pt>
                <c:pt idx="150">
                  <c:v>1081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328</c:v>
                </c:pt>
                <c:pt idx="155">
                  <c:v>2</c:v>
                </c:pt>
                <c:pt idx="156">
                  <c:v>2310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11</c:v>
                </c:pt>
                <c:pt idx="162">
                  <c:v>412</c:v>
                </c:pt>
                <c:pt idx="163">
                  <c:v>2381</c:v>
                </c:pt>
                <c:pt idx="164">
                  <c:v>0</c:v>
                </c:pt>
                <c:pt idx="165">
                  <c:v>38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344</c:v>
                </c:pt>
                <c:pt idx="171">
                  <c:v>0</c:v>
                </c:pt>
                <c:pt idx="172">
                  <c:v>0</c:v>
                </c:pt>
                <c:pt idx="173">
                  <c:v>1068</c:v>
                </c:pt>
                <c:pt idx="174">
                  <c:v>3113</c:v>
                </c:pt>
                <c:pt idx="175">
                  <c:v>844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111</c:v>
                </c:pt>
                <c:pt idx="196">
                  <c:v>1119</c:v>
                </c:pt>
                <c:pt idx="197">
                  <c:v>138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31</c:v>
                </c:pt>
                <c:pt idx="203">
                  <c:v>488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13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32</c:v>
                </c:pt>
                <c:pt idx="214">
                  <c:v>1</c:v>
                </c:pt>
                <c:pt idx="215">
                  <c:v>1</c:v>
                </c:pt>
                <c:pt idx="216">
                  <c:v>6</c:v>
                </c:pt>
                <c:pt idx="217">
                  <c:v>6647</c:v>
                </c:pt>
                <c:pt idx="218">
                  <c:v>0</c:v>
                </c:pt>
                <c:pt idx="219">
                  <c:v>253</c:v>
                </c:pt>
                <c:pt idx="220">
                  <c:v>0</c:v>
                </c:pt>
                <c:pt idx="221">
                  <c:v>198</c:v>
                </c:pt>
              </c:numCache>
            </c:numRef>
          </c:xVal>
          <c:yVal>
            <c:numRef>
              <c:f>'46421-0002'!$T$8:$T$230</c:f>
            </c:numRef>
          </c:yVal>
          <c:smooth val="0"/>
          <c:extLst>
            <c:ext xmlns:c16="http://schemas.microsoft.com/office/drawing/2014/chart" uri="{C3380CC4-5D6E-409C-BE32-E72D297353CC}">
              <c16:uniqueId val="{00000011-7261-4E6D-A02E-4246D74D2FB7}"/>
            </c:ext>
          </c:extLst>
        </c:ser>
        <c:ser>
          <c:idx val="18"/>
          <c:order val="18"/>
          <c:tx>
            <c:strRef>
              <c:f>'46421-0002'!$U$7</c:f>
              <c:strCache>
                <c:ptCount val="1"/>
                <c:pt idx="0">
                  <c:v>F0NRN Niederrhein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</a:schemeClr>
              </a:solidFill>
            </a:ln>
            <a:effectLst>
              <a:glow rad="139700">
                <a:schemeClr val="accent1">
                  <a:lumMod val="8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8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lumMod val="8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'46421-0002'!$B$8:$B$230</c:f>
              <c:numCache>
                <c:formatCode>General</c:formatCode>
                <c:ptCount val="222"/>
                <c:pt idx="0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2039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268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867</c:v>
                </c:pt>
                <c:pt idx="38">
                  <c:v>4964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</c:v>
                </c:pt>
                <c:pt idx="50">
                  <c:v>2453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1185</c:v>
                </c:pt>
                <c:pt idx="60">
                  <c:v>279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5</c:v>
                </c:pt>
                <c:pt idx="74">
                  <c:v>104</c:v>
                </c:pt>
                <c:pt idx="75">
                  <c:v>697</c:v>
                </c:pt>
                <c:pt idx="76">
                  <c:v>282</c:v>
                </c:pt>
                <c:pt idx="77">
                  <c:v>875</c:v>
                </c:pt>
                <c:pt idx="78">
                  <c:v>4630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13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135</c:v>
                </c:pt>
                <c:pt idx="99">
                  <c:v>200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373</c:v>
                </c:pt>
                <c:pt idx="105">
                  <c:v>172</c:v>
                </c:pt>
                <c:pt idx="106">
                  <c:v>0</c:v>
                </c:pt>
                <c:pt idx="107">
                  <c:v>1</c:v>
                </c:pt>
                <c:pt idx="108">
                  <c:v>66</c:v>
                </c:pt>
                <c:pt idx="109">
                  <c:v>13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92</c:v>
                </c:pt>
                <c:pt idx="117">
                  <c:v>0</c:v>
                </c:pt>
                <c:pt idx="118">
                  <c:v>71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83</c:v>
                </c:pt>
                <c:pt idx="123">
                  <c:v>0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36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1378</c:v>
                </c:pt>
                <c:pt idx="137">
                  <c:v>0</c:v>
                </c:pt>
                <c:pt idx="138">
                  <c:v>0</c:v>
                </c:pt>
                <c:pt idx="139">
                  <c:v>1349</c:v>
                </c:pt>
                <c:pt idx="140">
                  <c:v>634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139</c:v>
                </c:pt>
                <c:pt idx="150">
                  <c:v>1081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328</c:v>
                </c:pt>
                <c:pt idx="155">
                  <c:v>2</c:v>
                </c:pt>
                <c:pt idx="156">
                  <c:v>2310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11</c:v>
                </c:pt>
                <c:pt idx="162">
                  <c:v>412</c:v>
                </c:pt>
                <c:pt idx="163">
                  <c:v>2381</c:v>
                </c:pt>
                <c:pt idx="164">
                  <c:v>0</c:v>
                </c:pt>
                <c:pt idx="165">
                  <c:v>38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344</c:v>
                </c:pt>
                <c:pt idx="171">
                  <c:v>0</c:v>
                </c:pt>
                <c:pt idx="172">
                  <c:v>0</c:v>
                </c:pt>
                <c:pt idx="173">
                  <c:v>1068</c:v>
                </c:pt>
                <c:pt idx="174">
                  <c:v>3113</c:v>
                </c:pt>
                <c:pt idx="175">
                  <c:v>844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111</c:v>
                </c:pt>
                <c:pt idx="196">
                  <c:v>1119</c:v>
                </c:pt>
                <c:pt idx="197">
                  <c:v>138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31</c:v>
                </c:pt>
                <c:pt idx="203">
                  <c:v>488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13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32</c:v>
                </c:pt>
                <c:pt idx="214">
                  <c:v>1</c:v>
                </c:pt>
                <c:pt idx="215">
                  <c:v>1</c:v>
                </c:pt>
                <c:pt idx="216">
                  <c:v>6</c:v>
                </c:pt>
                <c:pt idx="217">
                  <c:v>6647</c:v>
                </c:pt>
                <c:pt idx="218">
                  <c:v>0</c:v>
                </c:pt>
                <c:pt idx="219">
                  <c:v>253</c:v>
                </c:pt>
                <c:pt idx="220">
                  <c:v>0</c:v>
                </c:pt>
                <c:pt idx="221">
                  <c:v>198</c:v>
                </c:pt>
              </c:numCache>
            </c:numRef>
          </c:xVal>
          <c:yVal>
            <c:numRef>
              <c:f>'46421-0002'!$U$8:$U$230</c:f>
            </c:numRef>
          </c:yVal>
          <c:smooth val="0"/>
          <c:extLst>
            <c:ext xmlns:c16="http://schemas.microsoft.com/office/drawing/2014/chart" uri="{C3380CC4-5D6E-409C-BE32-E72D297353CC}">
              <c16:uniqueId val="{00000012-7261-4E6D-A02E-4246D74D2FB7}"/>
            </c:ext>
          </c:extLst>
        </c:ser>
        <c:ser>
          <c:idx val="19"/>
          <c:order val="19"/>
          <c:tx>
            <c:strRef>
              <c:f>'46421-0002'!$V$7</c:f>
              <c:strCache>
                <c:ptCount val="1"/>
                <c:pt idx="0">
                  <c:v>F0NUE Nürnberg</c:v>
                </c:pt>
              </c:strCache>
            </c:strRef>
          </c:tx>
          <c:spPr>
            <a:ln w="22225" cap="rnd">
              <a:solidFill>
                <a:schemeClr val="accent2">
                  <a:lumMod val="80000"/>
                </a:schemeClr>
              </a:solidFill>
            </a:ln>
            <a:effectLst>
              <a:glow rad="139700">
                <a:schemeClr val="accent2">
                  <a:lumMod val="8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8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lumMod val="8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'46421-0002'!$B$8:$B$230</c:f>
              <c:numCache>
                <c:formatCode>General</c:formatCode>
                <c:ptCount val="222"/>
                <c:pt idx="0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2039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268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867</c:v>
                </c:pt>
                <c:pt idx="38">
                  <c:v>4964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</c:v>
                </c:pt>
                <c:pt idx="50">
                  <c:v>2453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1185</c:v>
                </c:pt>
                <c:pt idx="60">
                  <c:v>279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5</c:v>
                </c:pt>
                <c:pt idx="74">
                  <c:v>104</c:v>
                </c:pt>
                <c:pt idx="75">
                  <c:v>697</c:v>
                </c:pt>
                <c:pt idx="76">
                  <c:v>282</c:v>
                </c:pt>
                <c:pt idx="77">
                  <c:v>875</c:v>
                </c:pt>
                <c:pt idx="78">
                  <c:v>4630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13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135</c:v>
                </c:pt>
                <c:pt idx="99">
                  <c:v>200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373</c:v>
                </c:pt>
                <c:pt idx="105">
                  <c:v>172</c:v>
                </c:pt>
                <c:pt idx="106">
                  <c:v>0</c:v>
                </c:pt>
                <c:pt idx="107">
                  <c:v>1</c:v>
                </c:pt>
                <c:pt idx="108">
                  <c:v>66</c:v>
                </c:pt>
                <c:pt idx="109">
                  <c:v>13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92</c:v>
                </c:pt>
                <c:pt idx="117">
                  <c:v>0</c:v>
                </c:pt>
                <c:pt idx="118">
                  <c:v>71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83</c:v>
                </c:pt>
                <c:pt idx="123">
                  <c:v>0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36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1378</c:v>
                </c:pt>
                <c:pt idx="137">
                  <c:v>0</c:v>
                </c:pt>
                <c:pt idx="138">
                  <c:v>0</c:v>
                </c:pt>
                <c:pt idx="139">
                  <c:v>1349</c:v>
                </c:pt>
                <c:pt idx="140">
                  <c:v>634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139</c:v>
                </c:pt>
                <c:pt idx="150">
                  <c:v>1081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328</c:v>
                </c:pt>
                <c:pt idx="155">
                  <c:v>2</c:v>
                </c:pt>
                <c:pt idx="156">
                  <c:v>2310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11</c:v>
                </c:pt>
                <c:pt idx="162">
                  <c:v>412</c:v>
                </c:pt>
                <c:pt idx="163">
                  <c:v>2381</c:v>
                </c:pt>
                <c:pt idx="164">
                  <c:v>0</c:v>
                </c:pt>
                <c:pt idx="165">
                  <c:v>38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344</c:v>
                </c:pt>
                <c:pt idx="171">
                  <c:v>0</c:v>
                </c:pt>
                <c:pt idx="172">
                  <c:v>0</c:v>
                </c:pt>
                <c:pt idx="173">
                  <c:v>1068</c:v>
                </c:pt>
                <c:pt idx="174">
                  <c:v>3113</c:v>
                </c:pt>
                <c:pt idx="175">
                  <c:v>844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111</c:v>
                </c:pt>
                <c:pt idx="196">
                  <c:v>1119</c:v>
                </c:pt>
                <c:pt idx="197">
                  <c:v>138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31</c:v>
                </c:pt>
                <c:pt idx="203">
                  <c:v>488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13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32</c:v>
                </c:pt>
                <c:pt idx="214">
                  <c:v>1</c:v>
                </c:pt>
                <c:pt idx="215">
                  <c:v>1</c:v>
                </c:pt>
                <c:pt idx="216">
                  <c:v>6</c:v>
                </c:pt>
                <c:pt idx="217">
                  <c:v>6647</c:v>
                </c:pt>
                <c:pt idx="218">
                  <c:v>0</c:v>
                </c:pt>
                <c:pt idx="219">
                  <c:v>253</c:v>
                </c:pt>
                <c:pt idx="220">
                  <c:v>0</c:v>
                </c:pt>
                <c:pt idx="221">
                  <c:v>198</c:v>
                </c:pt>
              </c:numCache>
            </c:numRef>
          </c:xVal>
          <c:yVal>
            <c:numRef>
              <c:f>'46421-0002'!$V$8:$V$230</c:f>
            </c:numRef>
          </c:yVal>
          <c:smooth val="0"/>
          <c:extLst>
            <c:ext xmlns:c16="http://schemas.microsoft.com/office/drawing/2014/chart" uri="{C3380CC4-5D6E-409C-BE32-E72D297353CC}">
              <c16:uniqueId val="{00000013-7261-4E6D-A02E-4246D74D2FB7}"/>
            </c:ext>
          </c:extLst>
        </c:ser>
        <c:ser>
          <c:idx val="20"/>
          <c:order val="20"/>
          <c:tx>
            <c:strRef>
              <c:f>'46421-0002'!$W$7</c:f>
              <c:strCache>
                <c:ptCount val="1"/>
                <c:pt idx="0">
                  <c:v>F0PAD Paderborn/Lippstadt</c:v>
                </c:pt>
              </c:strCache>
            </c:strRef>
          </c:tx>
          <c:spPr>
            <a:ln w="22225" cap="rnd">
              <a:solidFill>
                <a:schemeClr val="accent3">
                  <a:lumMod val="80000"/>
                </a:schemeClr>
              </a:solidFill>
            </a:ln>
            <a:effectLst>
              <a:glow rad="139700">
                <a:schemeClr val="accent3">
                  <a:lumMod val="8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8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lumMod val="8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'46421-0002'!$B$8:$B$230</c:f>
              <c:numCache>
                <c:formatCode>General</c:formatCode>
                <c:ptCount val="222"/>
                <c:pt idx="0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2039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268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867</c:v>
                </c:pt>
                <c:pt idx="38">
                  <c:v>4964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</c:v>
                </c:pt>
                <c:pt idx="50">
                  <c:v>2453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1185</c:v>
                </c:pt>
                <c:pt idx="60">
                  <c:v>279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5</c:v>
                </c:pt>
                <c:pt idx="74">
                  <c:v>104</c:v>
                </c:pt>
                <c:pt idx="75">
                  <c:v>697</c:v>
                </c:pt>
                <c:pt idx="76">
                  <c:v>282</c:v>
                </c:pt>
                <c:pt idx="77">
                  <c:v>875</c:v>
                </c:pt>
                <c:pt idx="78">
                  <c:v>4630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13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135</c:v>
                </c:pt>
                <c:pt idx="99">
                  <c:v>200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373</c:v>
                </c:pt>
                <c:pt idx="105">
                  <c:v>172</c:v>
                </c:pt>
                <c:pt idx="106">
                  <c:v>0</c:v>
                </c:pt>
                <c:pt idx="107">
                  <c:v>1</c:v>
                </c:pt>
                <c:pt idx="108">
                  <c:v>66</c:v>
                </c:pt>
                <c:pt idx="109">
                  <c:v>13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92</c:v>
                </c:pt>
                <c:pt idx="117">
                  <c:v>0</c:v>
                </c:pt>
                <c:pt idx="118">
                  <c:v>71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83</c:v>
                </c:pt>
                <c:pt idx="123">
                  <c:v>0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36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1378</c:v>
                </c:pt>
                <c:pt idx="137">
                  <c:v>0</c:v>
                </c:pt>
                <c:pt idx="138">
                  <c:v>0</c:v>
                </c:pt>
                <c:pt idx="139">
                  <c:v>1349</c:v>
                </c:pt>
                <c:pt idx="140">
                  <c:v>634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139</c:v>
                </c:pt>
                <c:pt idx="150">
                  <c:v>1081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328</c:v>
                </c:pt>
                <c:pt idx="155">
                  <c:v>2</c:v>
                </c:pt>
                <c:pt idx="156">
                  <c:v>2310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11</c:v>
                </c:pt>
                <c:pt idx="162">
                  <c:v>412</c:v>
                </c:pt>
                <c:pt idx="163">
                  <c:v>2381</c:v>
                </c:pt>
                <c:pt idx="164">
                  <c:v>0</c:v>
                </c:pt>
                <c:pt idx="165">
                  <c:v>38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344</c:v>
                </c:pt>
                <c:pt idx="171">
                  <c:v>0</c:v>
                </c:pt>
                <c:pt idx="172">
                  <c:v>0</c:v>
                </c:pt>
                <c:pt idx="173">
                  <c:v>1068</c:v>
                </c:pt>
                <c:pt idx="174">
                  <c:v>3113</c:v>
                </c:pt>
                <c:pt idx="175">
                  <c:v>844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111</c:v>
                </c:pt>
                <c:pt idx="196">
                  <c:v>1119</c:v>
                </c:pt>
                <c:pt idx="197">
                  <c:v>138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31</c:v>
                </c:pt>
                <c:pt idx="203">
                  <c:v>488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13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32</c:v>
                </c:pt>
                <c:pt idx="214">
                  <c:v>1</c:v>
                </c:pt>
                <c:pt idx="215">
                  <c:v>1</c:v>
                </c:pt>
                <c:pt idx="216">
                  <c:v>6</c:v>
                </c:pt>
                <c:pt idx="217">
                  <c:v>6647</c:v>
                </c:pt>
                <c:pt idx="218">
                  <c:v>0</c:v>
                </c:pt>
                <c:pt idx="219">
                  <c:v>253</c:v>
                </c:pt>
                <c:pt idx="220">
                  <c:v>0</c:v>
                </c:pt>
                <c:pt idx="221">
                  <c:v>198</c:v>
                </c:pt>
              </c:numCache>
            </c:numRef>
          </c:xVal>
          <c:yVal>
            <c:numRef>
              <c:f>'46421-0002'!$W$8:$W$230</c:f>
            </c:numRef>
          </c:yVal>
          <c:smooth val="0"/>
          <c:extLst>
            <c:ext xmlns:c16="http://schemas.microsoft.com/office/drawing/2014/chart" uri="{C3380CC4-5D6E-409C-BE32-E72D297353CC}">
              <c16:uniqueId val="{00000014-7261-4E6D-A02E-4246D74D2FB7}"/>
            </c:ext>
          </c:extLst>
        </c:ser>
        <c:ser>
          <c:idx val="21"/>
          <c:order val="21"/>
          <c:tx>
            <c:strRef>
              <c:f>'46421-0002'!$X$7</c:f>
              <c:strCache>
                <c:ptCount val="1"/>
                <c:pt idx="0">
                  <c:v>F0RLG Rostock0Laage</c:v>
                </c:pt>
              </c:strCache>
            </c:strRef>
          </c:tx>
          <c:spPr>
            <a:ln w="22225" cap="rnd">
              <a:solidFill>
                <a:schemeClr val="accent4">
                  <a:lumMod val="80000"/>
                </a:schemeClr>
              </a:solidFill>
            </a:ln>
            <a:effectLst>
              <a:glow rad="139700">
                <a:schemeClr val="accent4">
                  <a:lumMod val="8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8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lumMod val="8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'46421-0002'!$B$8:$B$230</c:f>
              <c:numCache>
                <c:formatCode>General</c:formatCode>
                <c:ptCount val="222"/>
                <c:pt idx="0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2039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268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867</c:v>
                </c:pt>
                <c:pt idx="38">
                  <c:v>4964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</c:v>
                </c:pt>
                <c:pt idx="50">
                  <c:v>2453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1185</c:v>
                </c:pt>
                <c:pt idx="60">
                  <c:v>279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5</c:v>
                </c:pt>
                <c:pt idx="74">
                  <c:v>104</c:v>
                </c:pt>
                <c:pt idx="75">
                  <c:v>697</c:v>
                </c:pt>
                <c:pt idx="76">
                  <c:v>282</c:v>
                </c:pt>
                <c:pt idx="77">
                  <c:v>875</c:v>
                </c:pt>
                <c:pt idx="78">
                  <c:v>4630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13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135</c:v>
                </c:pt>
                <c:pt idx="99">
                  <c:v>200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373</c:v>
                </c:pt>
                <c:pt idx="105">
                  <c:v>172</c:v>
                </c:pt>
                <c:pt idx="106">
                  <c:v>0</c:v>
                </c:pt>
                <c:pt idx="107">
                  <c:v>1</c:v>
                </c:pt>
                <c:pt idx="108">
                  <c:v>66</c:v>
                </c:pt>
                <c:pt idx="109">
                  <c:v>13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92</c:v>
                </c:pt>
                <c:pt idx="117">
                  <c:v>0</c:v>
                </c:pt>
                <c:pt idx="118">
                  <c:v>71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83</c:v>
                </c:pt>
                <c:pt idx="123">
                  <c:v>0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36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1378</c:v>
                </c:pt>
                <c:pt idx="137">
                  <c:v>0</c:v>
                </c:pt>
                <c:pt idx="138">
                  <c:v>0</c:v>
                </c:pt>
                <c:pt idx="139">
                  <c:v>1349</c:v>
                </c:pt>
                <c:pt idx="140">
                  <c:v>634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139</c:v>
                </c:pt>
                <c:pt idx="150">
                  <c:v>1081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328</c:v>
                </c:pt>
                <c:pt idx="155">
                  <c:v>2</c:v>
                </c:pt>
                <c:pt idx="156">
                  <c:v>2310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11</c:v>
                </c:pt>
                <c:pt idx="162">
                  <c:v>412</c:v>
                </c:pt>
                <c:pt idx="163">
                  <c:v>2381</c:v>
                </c:pt>
                <c:pt idx="164">
                  <c:v>0</c:v>
                </c:pt>
                <c:pt idx="165">
                  <c:v>38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344</c:v>
                </c:pt>
                <c:pt idx="171">
                  <c:v>0</c:v>
                </c:pt>
                <c:pt idx="172">
                  <c:v>0</c:v>
                </c:pt>
                <c:pt idx="173">
                  <c:v>1068</c:v>
                </c:pt>
                <c:pt idx="174">
                  <c:v>3113</c:v>
                </c:pt>
                <c:pt idx="175">
                  <c:v>844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111</c:v>
                </c:pt>
                <c:pt idx="196">
                  <c:v>1119</c:v>
                </c:pt>
                <c:pt idx="197">
                  <c:v>138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31</c:v>
                </c:pt>
                <c:pt idx="203">
                  <c:v>488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13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32</c:v>
                </c:pt>
                <c:pt idx="214">
                  <c:v>1</c:v>
                </c:pt>
                <c:pt idx="215">
                  <c:v>1</c:v>
                </c:pt>
                <c:pt idx="216">
                  <c:v>6</c:v>
                </c:pt>
                <c:pt idx="217">
                  <c:v>6647</c:v>
                </c:pt>
                <c:pt idx="218">
                  <c:v>0</c:v>
                </c:pt>
                <c:pt idx="219">
                  <c:v>253</c:v>
                </c:pt>
                <c:pt idx="220">
                  <c:v>0</c:v>
                </c:pt>
                <c:pt idx="221">
                  <c:v>198</c:v>
                </c:pt>
              </c:numCache>
            </c:numRef>
          </c:xVal>
          <c:yVal>
            <c:numRef>
              <c:f>'46421-0002'!$X$8:$X$230</c:f>
            </c:numRef>
          </c:yVal>
          <c:smooth val="0"/>
          <c:extLst>
            <c:ext xmlns:c16="http://schemas.microsoft.com/office/drawing/2014/chart" uri="{C3380CC4-5D6E-409C-BE32-E72D297353CC}">
              <c16:uniqueId val="{00000015-7261-4E6D-A02E-4246D74D2FB7}"/>
            </c:ext>
          </c:extLst>
        </c:ser>
        <c:ser>
          <c:idx val="22"/>
          <c:order val="22"/>
          <c:tx>
            <c:strRef>
              <c:f>'46421-0002'!$Y$7</c:f>
              <c:strCache>
                <c:ptCount val="1"/>
                <c:pt idx="0">
                  <c:v>F0SCN Saarbrücken</c:v>
                </c:pt>
              </c:strCache>
            </c:strRef>
          </c:tx>
          <c:spPr>
            <a:ln w="22225" cap="rnd">
              <a:solidFill>
                <a:schemeClr val="accent5">
                  <a:lumMod val="80000"/>
                </a:schemeClr>
              </a:solidFill>
            </a:ln>
            <a:effectLst>
              <a:glow rad="139700">
                <a:schemeClr val="accent5">
                  <a:lumMod val="8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8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lumMod val="8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'46421-0002'!$B$8:$B$230</c:f>
              <c:numCache>
                <c:formatCode>General</c:formatCode>
                <c:ptCount val="222"/>
                <c:pt idx="0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2039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268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867</c:v>
                </c:pt>
                <c:pt idx="38">
                  <c:v>4964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</c:v>
                </c:pt>
                <c:pt idx="50">
                  <c:v>2453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1185</c:v>
                </c:pt>
                <c:pt idx="60">
                  <c:v>279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5</c:v>
                </c:pt>
                <c:pt idx="74">
                  <c:v>104</c:v>
                </c:pt>
                <c:pt idx="75">
                  <c:v>697</c:v>
                </c:pt>
                <c:pt idx="76">
                  <c:v>282</c:v>
                </c:pt>
                <c:pt idx="77">
                  <c:v>875</c:v>
                </c:pt>
                <c:pt idx="78">
                  <c:v>4630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13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135</c:v>
                </c:pt>
                <c:pt idx="99">
                  <c:v>200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373</c:v>
                </c:pt>
                <c:pt idx="105">
                  <c:v>172</c:v>
                </c:pt>
                <c:pt idx="106">
                  <c:v>0</c:v>
                </c:pt>
                <c:pt idx="107">
                  <c:v>1</c:v>
                </c:pt>
                <c:pt idx="108">
                  <c:v>66</c:v>
                </c:pt>
                <c:pt idx="109">
                  <c:v>13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92</c:v>
                </c:pt>
                <c:pt idx="117">
                  <c:v>0</c:v>
                </c:pt>
                <c:pt idx="118">
                  <c:v>71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83</c:v>
                </c:pt>
                <c:pt idx="123">
                  <c:v>0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36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1378</c:v>
                </c:pt>
                <c:pt idx="137">
                  <c:v>0</c:v>
                </c:pt>
                <c:pt idx="138">
                  <c:v>0</c:v>
                </c:pt>
                <c:pt idx="139">
                  <c:v>1349</c:v>
                </c:pt>
                <c:pt idx="140">
                  <c:v>634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139</c:v>
                </c:pt>
                <c:pt idx="150">
                  <c:v>1081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328</c:v>
                </c:pt>
                <c:pt idx="155">
                  <c:v>2</c:v>
                </c:pt>
                <c:pt idx="156">
                  <c:v>2310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11</c:v>
                </c:pt>
                <c:pt idx="162">
                  <c:v>412</c:v>
                </c:pt>
                <c:pt idx="163">
                  <c:v>2381</c:v>
                </c:pt>
                <c:pt idx="164">
                  <c:v>0</c:v>
                </c:pt>
                <c:pt idx="165">
                  <c:v>38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344</c:v>
                </c:pt>
                <c:pt idx="171">
                  <c:v>0</c:v>
                </c:pt>
                <c:pt idx="172">
                  <c:v>0</c:v>
                </c:pt>
                <c:pt idx="173">
                  <c:v>1068</c:v>
                </c:pt>
                <c:pt idx="174">
                  <c:v>3113</c:v>
                </c:pt>
                <c:pt idx="175">
                  <c:v>844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111</c:v>
                </c:pt>
                <c:pt idx="196">
                  <c:v>1119</c:v>
                </c:pt>
                <c:pt idx="197">
                  <c:v>138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31</c:v>
                </c:pt>
                <c:pt idx="203">
                  <c:v>488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13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32</c:v>
                </c:pt>
                <c:pt idx="214">
                  <c:v>1</c:v>
                </c:pt>
                <c:pt idx="215">
                  <c:v>1</c:v>
                </c:pt>
                <c:pt idx="216">
                  <c:v>6</c:v>
                </c:pt>
                <c:pt idx="217">
                  <c:v>6647</c:v>
                </c:pt>
                <c:pt idx="218">
                  <c:v>0</c:v>
                </c:pt>
                <c:pt idx="219">
                  <c:v>253</c:v>
                </c:pt>
                <c:pt idx="220">
                  <c:v>0</c:v>
                </c:pt>
                <c:pt idx="221">
                  <c:v>198</c:v>
                </c:pt>
              </c:numCache>
            </c:numRef>
          </c:xVal>
          <c:yVal>
            <c:numRef>
              <c:f>'46421-0002'!$Y$8:$Y$230</c:f>
            </c:numRef>
          </c:yVal>
          <c:smooth val="0"/>
          <c:extLst>
            <c:ext xmlns:c16="http://schemas.microsoft.com/office/drawing/2014/chart" uri="{C3380CC4-5D6E-409C-BE32-E72D297353CC}">
              <c16:uniqueId val="{00000016-7261-4E6D-A02E-4246D74D2FB7}"/>
            </c:ext>
          </c:extLst>
        </c:ser>
        <c:ser>
          <c:idx val="23"/>
          <c:order val="23"/>
          <c:tx>
            <c:strRef>
              <c:f>'46421-0002'!$Z$7</c:f>
              <c:strCache>
                <c:ptCount val="1"/>
                <c:pt idx="0">
                  <c:v>F0STR Stuttgart</c:v>
                </c:pt>
              </c:strCache>
            </c:strRef>
          </c:tx>
          <c:spPr>
            <a:ln w="22225" cap="rnd">
              <a:solidFill>
                <a:schemeClr val="accent6">
                  <a:lumMod val="80000"/>
                </a:schemeClr>
              </a:solidFill>
            </a:ln>
            <a:effectLst>
              <a:glow rad="139700">
                <a:schemeClr val="accent6">
                  <a:lumMod val="8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8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lumMod val="8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'46421-0002'!$B$8:$B$230</c:f>
              <c:numCache>
                <c:formatCode>General</c:formatCode>
                <c:ptCount val="222"/>
                <c:pt idx="0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2039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268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867</c:v>
                </c:pt>
                <c:pt idx="38">
                  <c:v>4964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</c:v>
                </c:pt>
                <c:pt idx="50">
                  <c:v>2453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1185</c:v>
                </c:pt>
                <c:pt idx="60">
                  <c:v>279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5</c:v>
                </c:pt>
                <c:pt idx="74">
                  <c:v>104</c:v>
                </c:pt>
                <c:pt idx="75">
                  <c:v>697</c:v>
                </c:pt>
                <c:pt idx="76">
                  <c:v>282</c:v>
                </c:pt>
                <c:pt idx="77">
                  <c:v>875</c:v>
                </c:pt>
                <c:pt idx="78">
                  <c:v>4630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13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135</c:v>
                </c:pt>
                <c:pt idx="99">
                  <c:v>200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373</c:v>
                </c:pt>
                <c:pt idx="105">
                  <c:v>172</c:v>
                </c:pt>
                <c:pt idx="106">
                  <c:v>0</c:v>
                </c:pt>
                <c:pt idx="107">
                  <c:v>1</c:v>
                </c:pt>
                <c:pt idx="108">
                  <c:v>66</c:v>
                </c:pt>
                <c:pt idx="109">
                  <c:v>13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92</c:v>
                </c:pt>
                <c:pt idx="117">
                  <c:v>0</c:v>
                </c:pt>
                <c:pt idx="118">
                  <c:v>71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83</c:v>
                </c:pt>
                <c:pt idx="123">
                  <c:v>0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36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1378</c:v>
                </c:pt>
                <c:pt idx="137">
                  <c:v>0</c:v>
                </c:pt>
                <c:pt idx="138">
                  <c:v>0</c:v>
                </c:pt>
                <c:pt idx="139">
                  <c:v>1349</c:v>
                </c:pt>
                <c:pt idx="140">
                  <c:v>634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139</c:v>
                </c:pt>
                <c:pt idx="150">
                  <c:v>1081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328</c:v>
                </c:pt>
                <c:pt idx="155">
                  <c:v>2</c:v>
                </c:pt>
                <c:pt idx="156">
                  <c:v>2310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11</c:v>
                </c:pt>
                <c:pt idx="162">
                  <c:v>412</c:v>
                </c:pt>
                <c:pt idx="163">
                  <c:v>2381</c:v>
                </c:pt>
                <c:pt idx="164">
                  <c:v>0</c:v>
                </c:pt>
                <c:pt idx="165">
                  <c:v>38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344</c:v>
                </c:pt>
                <c:pt idx="171">
                  <c:v>0</c:v>
                </c:pt>
                <c:pt idx="172">
                  <c:v>0</c:v>
                </c:pt>
                <c:pt idx="173">
                  <c:v>1068</c:v>
                </c:pt>
                <c:pt idx="174">
                  <c:v>3113</c:v>
                </c:pt>
                <c:pt idx="175">
                  <c:v>844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111</c:v>
                </c:pt>
                <c:pt idx="196">
                  <c:v>1119</c:v>
                </c:pt>
                <c:pt idx="197">
                  <c:v>138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31</c:v>
                </c:pt>
                <c:pt idx="203">
                  <c:v>488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13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32</c:v>
                </c:pt>
                <c:pt idx="214">
                  <c:v>1</c:v>
                </c:pt>
                <c:pt idx="215">
                  <c:v>1</c:v>
                </c:pt>
                <c:pt idx="216">
                  <c:v>6</c:v>
                </c:pt>
                <c:pt idx="217">
                  <c:v>6647</c:v>
                </c:pt>
                <c:pt idx="218">
                  <c:v>0</c:v>
                </c:pt>
                <c:pt idx="219">
                  <c:v>253</c:v>
                </c:pt>
                <c:pt idx="220">
                  <c:v>0</c:v>
                </c:pt>
                <c:pt idx="221">
                  <c:v>198</c:v>
                </c:pt>
              </c:numCache>
            </c:numRef>
          </c:xVal>
          <c:yVal>
            <c:numRef>
              <c:f>'46421-0002'!$Z$8:$Z$230</c:f>
            </c:numRef>
          </c:yVal>
          <c:smooth val="0"/>
          <c:extLst>
            <c:ext xmlns:c16="http://schemas.microsoft.com/office/drawing/2014/chart" uri="{C3380CC4-5D6E-409C-BE32-E72D297353CC}">
              <c16:uniqueId val="{00000017-7261-4E6D-A02E-4246D74D2FB7}"/>
            </c:ext>
          </c:extLst>
        </c:ser>
        <c:ser>
          <c:idx val="24"/>
          <c:order val="24"/>
          <c:tx>
            <c:strRef>
              <c:f>'46421-0002'!$AA$7</c:f>
              <c:strCache>
                <c:ptCount val="1"/>
                <c:pt idx="0">
                  <c:v>F0GWT Sylt0Westerland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</a:ln>
            <a:effectLst>
              <a:glow rad="139700">
                <a:schemeClr val="accent1">
                  <a:lumMod val="60000"/>
                  <a:lumOff val="4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lumMod val="60000"/>
                    <a:lumOff val="4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'46421-0002'!$B$8:$B$230</c:f>
              <c:numCache>
                <c:formatCode>General</c:formatCode>
                <c:ptCount val="222"/>
                <c:pt idx="0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2039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268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867</c:v>
                </c:pt>
                <c:pt idx="38">
                  <c:v>4964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</c:v>
                </c:pt>
                <c:pt idx="50">
                  <c:v>2453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1185</c:v>
                </c:pt>
                <c:pt idx="60">
                  <c:v>279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5</c:v>
                </c:pt>
                <c:pt idx="74">
                  <c:v>104</c:v>
                </c:pt>
                <c:pt idx="75">
                  <c:v>697</c:v>
                </c:pt>
                <c:pt idx="76">
                  <c:v>282</c:v>
                </c:pt>
                <c:pt idx="77">
                  <c:v>875</c:v>
                </c:pt>
                <c:pt idx="78">
                  <c:v>4630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13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135</c:v>
                </c:pt>
                <c:pt idx="99">
                  <c:v>200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373</c:v>
                </c:pt>
                <c:pt idx="105">
                  <c:v>172</c:v>
                </c:pt>
                <c:pt idx="106">
                  <c:v>0</c:v>
                </c:pt>
                <c:pt idx="107">
                  <c:v>1</c:v>
                </c:pt>
                <c:pt idx="108">
                  <c:v>66</c:v>
                </c:pt>
                <c:pt idx="109">
                  <c:v>13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92</c:v>
                </c:pt>
                <c:pt idx="117">
                  <c:v>0</c:v>
                </c:pt>
                <c:pt idx="118">
                  <c:v>71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83</c:v>
                </c:pt>
                <c:pt idx="123">
                  <c:v>0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36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1378</c:v>
                </c:pt>
                <c:pt idx="137">
                  <c:v>0</c:v>
                </c:pt>
                <c:pt idx="138">
                  <c:v>0</c:v>
                </c:pt>
                <c:pt idx="139">
                  <c:v>1349</c:v>
                </c:pt>
                <c:pt idx="140">
                  <c:v>634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139</c:v>
                </c:pt>
                <c:pt idx="150">
                  <c:v>1081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328</c:v>
                </c:pt>
                <c:pt idx="155">
                  <c:v>2</c:v>
                </c:pt>
                <c:pt idx="156">
                  <c:v>2310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11</c:v>
                </c:pt>
                <c:pt idx="162">
                  <c:v>412</c:v>
                </c:pt>
                <c:pt idx="163">
                  <c:v>2381</c:v>
                </c:pt>
                <c:pt idx="164">
                  <c:v>0</c:v>
                </c:pt>
                <c:pt idx="165">
                  <c:v>38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344</c:v>
                </c:pt>
                <c:pt idx="171">
                  <c:v>0</c:v>
                </c:pt>
                <c:pt idx="172">
                  <c:v>0</c:v>
                </c:pt>
                <c:pt idx="173">
                  <c:v>1068</c:v>
                </c:pt>
                <c:pt idx="174">
                  <c:v>3113</c:v>
                </c:pt>
                <c:pt idx="175">
                  <c:v>844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111</c:v>
                </c:pt>
                <c:pt idx="196">
                  <c:v>1119</c:v>
                </c:pt>
                <c:pt idx="197">
                  <c:v>138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31</c:v>
                </c:pt>
                <c:pt idx="203">
                  <c:v>488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13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32</c:v>
                </c:pt>
                <c:pt idx="214">
                  <c:v>1</c:v>
                </c:pt>
                <c:pt idx="215">
                  <c:v>1</c:v>
                </c:pt>
                <c:pt idx="216">
                  <c:v>6</c:v>
                </c:pt>
                <c:pt idx="217">
                  <c:v>6647</c:v>
                </c:pt>
                <c:pt idx="218">
                  <c:v>0</c:v>
                </c:pt>
                <c:pt idx="219">
                  <c:v>253</c:v>
                </c:pt>
                <c:pt idx="220">
                  <c:v>0</c:v>
                </c:pt>
                <c:pt idx="221">
                  <c:v>198</c:v>
                </c:pt>
              </c:numCache>
            </c:numRef>
          </c:xVal>
          <c:yVal>
            <c:numRef>
              <c:f>'46421-0002'!$AA$8:$AA$230</c:f>
            </c:numRef>
          </c:yVal>
          <c:smooth val="0"/>
          <c:extLst>
            <c:ext xmlns:c16="http://schemas.microsoft.com/office/drawing/2014/chart" uri="{C3380CC4-5D6E-409C-BE32-E72D297353CC}">
              <c16:uniqueId val="{00000018-7261-4E6D-A02E-4246D74D2FB7}"/>
            </c:ext>
          </c:extLst>
        </c:ser>
        <c:ser>
          <c:idx val="25"/>
          <c:order val="25"/>
          <c:tx>
            <c:strRef>
              <c:f>'46421-0002'!$AB$7</c:f>
              <c:strCache>
                <c:ptCount val="1"/>
                <c:pt idx="0">
                  <c:v>F0ZQW Zweibrücken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  <a:lumOff val="40000"/>
                </a:schemeClr>
              </a:solidFill>
            </a:ln>
            <a:effectLst>
              <a:glow rad="139700">
                <a:schemeClr val="accent2">
                  <a:lumMod val="60000"/>
                  <a:lumOff val="4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lumMod val="60000"/>
                    <a:lumOff val="4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'46421-0002'!$B$8:$B$230</c:f>
              <c:numCache>
                <c:formatCode>General</c:formatCode>
                <c:ptCount val="222"/>
                <c:pt idx="0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2039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268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867</c:v>
                </c:pt>
                <c:pt idx="38">
                  <c:v>4964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</c:v>
                </c:pt>
                <c:pt idx="50">
                  <c:v>2453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1185</c:v>
                </c:pt>
                <c:pt idx="60">
                  <c:v>279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5</c:v>
                </c:pt>
                <c:pt idx="74">
                  <c:v>104</c:v>
                </c:pt>
                <c:pt idx="75">
                  <c:v>697</c:v>
                </c:pt>
                <c:pt idx="76">
                  <c:v>282</c:v>
                </c:pt>
                <c:pt idx="77">
                  <c:v>875</c:v>
                </c:pt>
                <c:pt idx="78">
                  <c:v>4630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13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135</c:v>
                </c:pt>
                <c:pt idx="99">
                  <c:v>200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373</c:v>
                </c:pt>
                <c:pt idx="105">
                  <c:v>172</c:v>
                </c:pt>
                <c:pt idx="106">
                  <c:v>0</c:v>
                </c:pt>
                <c:pt idx="107">
                  <c:v>1</c:v>
                </c:pt>
                <c:pt idx="108">
                  <c:v>66</c:v>
                </c:pt>
                <c:pt idx="109">
                  <c:v>13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92</c:v>
                </c:pt>
                <c:pt idx="117">
                  <c:v>0</c:v>
                </c:pt>
                <c:pt idx="118">
                  <c:v>71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83</c:v>
                </c:pt>
                <c:pt idx="123">
                  <c:v>0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36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1378</c:v>
                </c:pt>
                <c:pt idx="137">
                  <c:v>0</c:v>
                </c:pt>
                <c:pt idx="138">
                  <c:v>0</c:v>
                </c:pt>
                <c:pt idx="139">
                  <c:v>1349</c:v>
                </c:pt>
                <c:pt idx="140">
                  <c:v>634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139</c:v>
                </c:pt>
                <c:pt idx="150">
                  <c:v>1081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328</c:v>
                </c:pt>
                <c:pt idx="155">
                  <c:v>2</c:v>
                </c:pt>
                <c:pt idx="156">
                  <c:v>2310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11</c:v>
                </c:pt>
                <c:pt idx="162">
                  <c:v>412</c:v>
                </c:pt>
                <c:pt idx="163">
                  <c:v>2381</c:v>
                </c:pt>
                <c:pt idx="164">
                  <c:v>0</c:v>
                </c:pt>
                <c:pt idx="165">
                  <c:v>38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344</c:v>
                </c:pt>
                <c:pt idx="171">
                  <c:v>0</c:v>
                </c:pt>
                <c:pt idx="172">
                  <c:v>0</c:v>
                </c:pt>
                <c:pt idx="173">
                  <c:v>1068</c:v>
                </c:pt>
                <c:pt idx="174">
                  <c:v>3113</c:v>
                </c:pt>
                <c:pt idx="175">
                  <c:v>844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111</c:v>
                </c:pt>
                <c:pt idx="196">
                  <c:v>1119</c:v>
                </c:pt>
                <c:pt idx="197">
                  <c:v>138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31</c:v>
                </c:pt>
                <c:pt idx="203">
                  <c:v>488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13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32</c:v>
                </c:pt>
                <c:pt idx="214">
                  <c:v>1</c:v>
                </c:pt>
                <c:pt idx="215">
                  <c:v>1</c:v>
                </c:pt>
                <c:pt idx="216">
                  <c:v>6</c:v>
                </c:pt>
                <c:pt idx="217">
                  <c:v>6647</c:v>
                </c:pt>
                <c:pt idx="218">
                  <c:v>0</c:v>
                </c:pt>
                <c:pt idx="219">
                  <c:v>253</c:v>
                </c:pt>
                <c:pt idx="220">
                  <c:v>0</c:v>
                </c:pt>
                <c:pt idx="221">
                  <c:v>198</c:v>
                </c:pt>
              </c:numCache>
            </c:numRef>
          </c:xVal>
          <c:yVal>
            <c:numRef>
              <c:f>'46421-0002'!$AB$8:$AB$230</c:f>
            </c:numRef>
          </c:yVal>
          <c:smooth val="0"/>
          <c:extLst>
            <c:ext xmlns:c16="http://schemas.microsoft.com/office/drawing/2014/chart" uri="{C3380CC4-5D6E-409C-BE32-E72D297353CC}">
              <c16:uniqueId val="{00000019-7261-4E6D-A02E-4246D74D2FB7}"/>
            </c:ext>
          </c:extLst>
        </c:ser>
        <c:ser>
          <c:idx val="26"/>
          <c:order val="26"/>
          <c:spPr>
            <a:ln w="25400" cap="rnd">
              <a:noFill/>
            </a:ln>
            <a:effectLst>
              <a:glow rad="139700">
                <a:schemeClr val="accent3">
                  <a:lumMod val="60000"/>
                  <a:lumOff val="4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lumMod val="60000"/>
                    <a:lumOff val="40000"/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7E45219-D121-4B11-87AE-4A02589EA5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7261-4E6D-A02E-4246D74D2FB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FDBE559-4A72-4281-B03C-9CF771CC7F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7261-4E6D-A02E-4246D74D2FB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A4E6648-4FCC-469F-99BC-42DEC7DDD8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7261-4E6D-A02E-4246D74D2FB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1839881-DA56-4541-AD26-5F0E8D827E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7261-4E6D-A02E-4246D74D2FB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A93FFF1-D519-4AFF-9968-BB75869D21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7261-4E6D-A02E-4246D74D2FB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646706F-D3EE-4DD6-B123-5568BCB1BC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7261-4E6D-A02E-4246D74D2FB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BBAD555-7ED2-417E-ACB1-C84A60703C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7261-4E6D-A02E-4246D74D2FB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77C1ECA-88BD-4D59-9BB2-FDF3647B32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7261-4E6D-A02E-4246D74D2FB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20B1A24-828D-401E-AD6E-EA868D4754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7261-4E6D-A02E-4246D74D2FB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5F74BAD-EA19-467F-85EB-7F0C81CF01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7261-4E6D-A02E-4246D74D2FB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EADB2E1-6AB1-40B8-928B-CE015431F2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7261-4E6D-A02E-4246D74D2FB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A2AF031-7048-4EA5-A3B0-FB589EEE1E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7261-4E6D-A02E-4246D74D2FB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33903A6-1DF6-4950-BF55-C322C02D5B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7261-4E6D-A02E-4246D74D2FB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BE6A593-D74F-4A46-AAE5-F83064F3FC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7261-4E6D-A02E-4246D74D2FB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31DE56C-CB47-4967-9775-B4CF5966B3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7261-4E6D-A02E-4246D74D2FB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08B1B12-1BF3-459D-930E-EE9FD2000B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7261-4E6D-A02E-4246D74D2FB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49F5A02-B0A9-46A2-8D99-9C2AB323AF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7261-4E6D-A02E-4246D74D2FB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A98302C-C356-4605-BE34-C79EE95CBD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7261-4E6D-A02E-4246D74D2FB7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9668B58-EAC4-45B2-A302-B52CFEA005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7261-4E6D-A02E-4246D74D2FB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EC8E87C-F09D-4621-A847-4F2C51B883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7261-4E6D-A02E-4246D74D2FB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08598D7F-311D-4141-90A8-3BCEFB8EC6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7261-4E6D-A02E-4246D74D2FB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B110D339-371B-4E1E-A228-5DD1A939A3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7261-4E6D-A02E-4246D74D2FB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376C055A-98CA-4CC2-AA0A-365E8B6B74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7261-4E6D-A02E-4246D74D2FB7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EC3D924-CEFC-4C8B-A7D9-67B415D378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7261-4E6D-A02E-4246D74D2FB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AA1467C9-17DE-4045-84F4-9B58568221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7261-4E6D-A02E-4246D74D2FB7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5BA47657-2790-4120-A048-FE8134DF3C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7261-4E6D-A02E-4246D74D2FB7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281F14C1-D7B7-4A21-A29E-2D85F8754E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7261-4E6D-A02E-4246D74D2FB7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9E34B9E0-4770-4822-AEC6-FDF5CD6FB0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7261-4E6D-A02E-4246D74D2FB7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E6A24C63-B604-46A2-9356-7056D23D7D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7261-4E6D-A02E-4246D74D2FB7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95C0A886-3B72-4687-ABFC-5E611BA6C0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7261-4E6D-A02E-4246D74D2FB7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255659C4-8621-4BDF-9AC9-9BF761602D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7261-4E6D-A02E-4246D74D2FB7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AB59F7E4-7154-4949-9E17-0707A675B7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7261-4E6D-A02E-4246D74D2FB7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335DD22F-701E-46A3-AC2E-5922441F38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7261-4E6D-A02E-4246D74D2FB7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A8AE695C-06BD-4011-A2FF-6BC1608143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7261-4E6D-A02E-4246D74D2FB7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02DEDF1C-90C9-4039-ADB2-D289D84F0D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7261-4E6D-A02E-4246D74D2FB7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E351D6E3-EF53-46E0-A4BE-5C1DFED080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7261-4E6D-A02E-4246D74D2FB7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6B69F537-84BC-4E7F-8BB2-D11DB1C5AE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7261-4E6D-A02E-4246D74D2FB7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F0B42D56-CF34-44CF-B888-B0068DAC9A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7261-4E6D-A02E-4246D74D2FB7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4096C092-E6DC-4D6B-A606-EBE0F98384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7261-4E6D-A02E-4246D74D2FB7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8FADA6DB-6827-45F6-9F76-07CBAA6EA7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7261-4E6D-A02E-4246D74D2FB7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490C7398-9768-4A35-BC29-E02D86221A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7261-4E6D-A02E-4246D74D2FB7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4B395B78-32B3-483B-9930-47F50ACBB8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7261-4E6D-A02E-4246D74D2FB7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3CB947D1-FDBC-409A-BFF0-4F6E040950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7261-4E6D-A02E-4246D74D2FB7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B588819C-B8F4-4FA8-91AB-2EBBF2D806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7261-4E6D-A02E-4246D74D2FB7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E0109096-781B-4660-A1D1-01189C3FB0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7261-4E6D-A02E-4246D74D2FB7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9A883B57-38FE-49C4-88DA-B9F6E9149C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7261-4E6D-A02E-4246D74D2FB7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664E9D9A-0B7A-47A9-ADA1-3166F19543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7261-4E6D-A02E-4246D74D2FB7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6B358282-51E2-4F56-8B5A-72FC880858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7261-4E6D-A02E-4246D74D2FB7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F61DD53C-0755-4533-98C3-15B1A5D27F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7261-4E6D-A02E-4246D74D2FB7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827B3639-784E-4C59-8D4C-57ABD975E3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7261-4E6D-A02E-4246D74D2FB7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5554D486-7B70-4855-BC63-515E5CD18E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7261-4E6D-A02E-4246D74D2FB7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9473A805-B7F6-4CF0-AB6F-9B1581496C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7261-4E6D-A02E-4246D74D2FB7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529A57DC-957D-4E4F-B895-8F9ABE2C77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7261-4E6D-A02E-4246D74D2FB7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1E9A720B-6651-4F2D-B1F7-2BD38CEE6B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7261-4E6D-A02E-4246D74D2FB7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5413EC06-25DD-44B5-A5C1-8FACC3CD14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7261-4E6D-A02E-4246D74D2FB7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B4E17247-0229-490A-B9D7-AB45B46401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7261-4E6D-A02E-4246D74D2FB7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F2CE3E61-BD0F-4606-ACC8-F1228C8FCA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7261-4E6D-A02E-4246D74D2FB7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39E138A0-3888-4D72-B4B5-AA88C1B94C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7261-4E6D-A02E-4246D74D2FB7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3FBC2123-D67F-4C77-BCDF-01597AC31C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7261-4E6D-A02E-4246D74D2FB7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01B59E87-593F-4F9C-80BF-2E2B712188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7261-4E6D-A02E-4246D74D2FB7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A87B678B-B4D2-43F2-822E-BC2EB1726E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7261-4E6D-A02E-4246D74D2FB7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86B1368B-544D-411D-9E8E-66BC8B4E1F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7261-4E6D-A02E-4246D74D2FB7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293A6630-8DAB-43D4-90EF-572E2EAF68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7261-4E6D-A02E-4246D74D2FB7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0B70F479-7DF4-4D75-9152-7B7A37F8A9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7261-4E6D-A02E-4246D74D2FB7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3EC3226D-8332-49E5-AF02-9B4A0539B3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7261-4E6D-A02E-4246D74D2FB7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CBFEBFFD-67F9-4F99-AA95-CA09C1C5BC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7261-4E6D-A02E-4246D74D2FB7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A96903BB-1D01-4E84-921D-DAFD02983D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7261-4E6D-A02E-4246D74D2FB7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40298317-5594-4981-ACB3-EBEB3EF39D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7261-4E6D-A02E-4246D74D2FB7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4DED8F95-FDD0-4D33-9A3C-10797EAB41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7261-4E6D-A02E-4246D74D2FB7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5123BD8C-FBD7-4A6E-BDA5-F19651AC00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7261-4E6D-A02E-4246D74D2FB7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AA129970-AC81-43E3-9040-958D2F5119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7261-4E6D-A02E-4246D74D2FB7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79AE96EA-8F5C-4E3E-B386-A6E779396E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7261-4E6D-A02E-4246D74D2FB7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C9F813BF-5DBD-486F-9F16-B5ADFB6DB7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7261-4E6D-A02E-4246D74D2FB7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B61B4DE5-503F-477D-97EF-361108517E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7261-4E6D-A02E-4246D74D2FB7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6E1E1E8C-087A-406B-9F6A-DF35AA58E8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7261-4E6D-A02E-4246D74D2FB7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4F578819-B3E9-4A3F-AA52-8847654CC1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7261-4E6D-A02E-4246D74D2FB7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3F5D2CE8-CEB0-41F6-BAE5-CB8A1AAC1F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7261-4E6D-A02E-4246D74D2FB7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56041FE9-A0A6-45A0-83E7-5900DCAA14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7261-4E6D-A02E-4246D74D2FB7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08CEC810-DEC7-439D-883C-935D5482DD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7261-4E6D-A02E-4246D74D2FB7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1C5E0A86-BBDA-4BE9-ACD0-111B05045C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7261-4E6D-A02E-4246D74D2FB7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34DBA968-4150-4EE9-A05D-F0C4C0D0B0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7261-4E6D-A02E-4246D74D2FB7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A6343A64-F534-4D27-B9C6-9D5718C177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7261-4E6D-A02E-4246D74D2FB7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052BDAD4-BF92-4818-AE23-F10D21FEE9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7261-4E6D-A02E-4246D74D2FB7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87D24BD1-7DFD-4001-A834-2420BDD34F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7261-4E6D-A02E-4246D74D2FB7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CE6825F4-24A6-46C3-AB1C-266C4DCF05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7261-4E6D-A02E-4246D74D2FB7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59A3C2EF-4F1C-43FC-9652-534AA15BA5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7261-4E6D-A02E-4246D74D2FB7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40E21B23-89EC-469B-9A98-4C54FD0C59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7261-4E6D-A02E-4246D74D2FB7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63FBDE1E-86D7-437C-AE98-3C0660F7DE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7261-4E6D-A02E-4246D74D2FB7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80257082-66B5-4B70-A190-7D6967BF19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7261-4E6D-A02E-4246D74D2FB7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22DE81E9-C524-49E1-845F-4F6D97B424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7261-4E6D-A02E-4246D74D2FB7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DECBA27D-C581-4C57-AAE7-686C1FB7C4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7261-4E6D-A02E-4246D74D2FB7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81282847-EA4B-479E-8425-184EE8CBFB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7261-4E6D-A02E-4246D74D2FB7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29F68D5F-6D7F-4371-B84A-9043A48937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7261-4E6D-A02E-4246D74D2FB7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A78CAEBD-78C4-4157-8DF6-9EAD9979F2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7261-4E6D-A02E-4246D74D2FB7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F7BAB64E-F5B3-4866-AD83-1CA915BFAE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7261-4E6D-A02E-4246D74D2FB7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B97A0E71-43A5-4484-8F54-1C047E1E83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7261-4E6D-A02E-4246D74D2FB7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B2F91A4F-8D7C-4B48-AE15-8D98EBAF92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7261-4E6D-A02E-4246D74D2FB7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1359880E-5721-4A8E-AFCB-913B19DA02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7261-4E6D-A02E-4246D74D2FB7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0CA34195-8CD0-46B6-A032-21CE0C555D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7261-4E6D-A02E-4246D74D2FB7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2FF5EB74-A4E6-4CAF-8910-052A676EF3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7261-4E6D-A02E-4246D74D2FB7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C34645F4-7550-4C62-BAA8-13C77EB314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7261-4E6D-A02E-4246D74D2FB7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B24BE708-1184-41D1-8966-A711ADC2C5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7261-4E6D-A02E-4246D74D2FB7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5EBAE7BA-5C08-4149-B89A-BBE057FAE0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7261-4E6D-A02E-4246D74D2FB7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0D961E3D-2A5F-44B3-992F-1F3BEDED54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7261-4E6D-A02E-4246D74D2FB7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6971BB1E-86C0-473B-BEB7-16DE34EC27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7261-4E6D-A02E-4246D74D2FB7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4D90F172-9683-4E9C-A85B-C94CFAA317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7261-4E6D-A02E-4246D74D2FB7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A8A6F8BC-4A01-4707-BD09-2E30CF9C50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7261-4E6D-A02E-4246D74D2FB7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C8C9E8AA-4B8B-4FAA-9442-C997CCA2D4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7261-4E6D-A02E-4246D74D2FB7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13D7DD97-EC6A-4487-B47F-D0F3B86178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7261-4E6D-A02E-4246D74D2FB7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D317276D-986B-4F33-9B12-F0B1D1F4C8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7261-4E6D-A02E-4246D74D2FB7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732A9217-A71B-454A-8F8E-617E67A354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7261-4E6D-A02E-4246D74D2FB7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A5BA8F60-FD7C-4D09-AB5A-2E8ECD7588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7261-4E6D-A02E-4246D74D2FB7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0E700610-42EC-4AEB-A582-2D671E7D06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7261-4E6D-A02E-4246D74D2FB7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EDE31B57-1EBA-42DB-8300-8114EFC2E6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7261-4E6D-A02E-4246D74D2FB7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46C507FA-40AC-4F63-B7B4-C9627C5D3E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7261-4E6D-A02E-4246D74D2FB7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E7475DF0-3A5B-4256-99D1-C7C87D0C3B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7261-4E6D-A02E-4246D74D2FB7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93B7FC62-F79B-4C86-B312-7A3976948A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7261-4E6D-A02E-4246D74D2FB7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614C317F-0419-4EBA-909A-3BAFEEFA4A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7261-4E6D-A02E-4246D74D2FB7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ED339E87-BD34-43E2-BA32-EA81F26F89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7261-4E6D-A02E-4246D74D2FB7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DEBDF854-2202-4D1B-B56C-40A35EFAD9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7261-4E6D-A02E-4246D74D2FB7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693A4639-D3A3-4D20-8B58-170661B5B7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7261-4E6D-A02E-4246D74D2FB7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08A51E30-2EE5-42BB-9AFA-46F8922F97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7261-4E6D-A02E-4246D74D2FB7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0DEA6925-90B9-431B-A08C-624131829D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7261-4E6D-A02E-4246D74D2FB7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0848EA16-6A6A-411C-952F-9B4CA1D3CF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7261-4E6D-A02E-4246D74D2FB7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70055868-0C17-4F05-B5E3-DD5519A917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7261-4E6D-A02E-4246D74D2FB7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2F3100AB-D297-415D-899C-C62C98DFD7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7261-4E6D-A02E-4246D74D2FB7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64014049-6E8A-436C-8765-773ADD83C4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7261-4E6D-A02E-4246D74D2FB7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D0157AC1-4196-4595-89F7-51BDD81882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7261-4E6D-A02E-4246D74D2FB7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DF672AED-DC8B-449B-83F7-FC10979CAA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7261-4E6D-A02E-4246D74D2FB7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40F6F646-8A31-4814-A363-9159129E5E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7261-4E6D-A02E-4246D74D2FB7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143E8678-2881-40E8-90C0-3B8D18CC41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7261-4E6D-A02E-4246D74D2FB7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2D894340-FE93-44CD-B818-55CDF5F74B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7261-4E6D-A02E-4246D74D2FB7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FF48D61F-960E-47C8-8DAC-F2910E6897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7261-4E6D-A02E-4246D74D2FB7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DCD0F077-122A-40AD-8F9B-0768F98899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7261-4E6D-A02E-4246D74D2FB7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51694D41-1519-4030-ADF4-8C32F40D6F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7261-4E6D-A02E-4246D74D2FB7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ECEAC4DD-F0C8-4B84-A3EF-9D452FE6E8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7261-4E6D-A02E-4246D74D2FB7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18A1A47F-810C-4BD2-AAD0-A2F67940AB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7261-4E6D-A02E-4246D74D2FB7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60380F24-DE27-4952-A785-327B17D191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7261-4E6D-A02E-4246D74D2FB7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F4FA8FAC-1CE7-4053-9ACE-FC0FA322D5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7261-4E6D-A02E-4246D74D2FB7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BB0BE587-7503-415A-9445-0437C4A7BB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7261-4E6D-A02E-4246D74D2FB7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F614B782-AA47-4E46-870C-8A70118061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7261-4E6D-A02E-4246D74D2FB7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FE50710C-5EBD-49D2-9A39-AFF82166DB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7261-4E6D-A02E-4246D74D2FB7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409AA2FD-0CBD-4368-943C-952B883580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7261-4E6D-A02E-4246D74D2FB7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130ECD3C-98F7-4EA0-B843-B3D4F39F04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7261-4E6D-A02E-4246D74D2FB7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9563A373-800C-4A90-9483-B643CF21DC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7261-4E6D-A02E-4246D74D2FB7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9CF70D92-5652-478A-9801-CFD84E54E9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7261-4E6D-A02E-4246D74D2FB7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5B54E77F-BD89-4D07-8B58-C181F3B03F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7261-4E6D-A02E-4246D74D2FB7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7E929953-A433-40E8-B26D-048DE713ED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7261-4E6D-A02E-4246D74D2FB7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781B2A54-17B0-4EDB-A100-66F5F237EA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7261-4E6D-A02E-4246D74D2FB7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1E4FB954-230C-45A7-953A-C629CC8CC7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7261-4E6D-A02E-4246D74D2FB7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1C4BED3D-0D95-41BA-BA87-10A45576BA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7261-4E6D-A02E-4246D74D2FB7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CB769C80-84CF-4303-9978-0347B41AEF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7261-4E6D-A02E-4246D74D2FB7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1B927F14-7B03-45B7-8FFA-6300FC73E9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7261-4E6D-A02E-4246D74D2FB7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99C7B361-1FEE-44A0-9FAA-7A4D4C04F5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7261-4E6D-A02E-4246D74D2FB7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3EE046B6-78DF-41A5-BAC6-3BC32034E2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7261-4E6D-A02E-4246D74D2FB7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DE238A20-4C73-48C5-A2C8-44F35E939A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7261-4E6D-A02E-4246D74D2FB7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6518CF26-33F0-4DDD-9E68-CC3835C961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7261-4E6D-A02E-4246D74D2FB7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9D1BD49C-A288-49A0-9CEB-C9E343FEA1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7261-4E6D-A02E-4246D74D2FB7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2BD1ACF1-6352-431E-8138-7BB8F35662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7261-4E6D-A02E-4246D74D2FB7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10D496B4-C07E-4A7E-9719-72C4A929EA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7261-4E6D-A02E-4246D74D2FB7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EF280FC0-1EF7-43C4-A6E8-47AFD9CC83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7261-4E6D-A02E-4246D74D2FB7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AB9B1575-3F9C-4CEE-A302-D97F781EF0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7261-4E6D-A02E-4246D74D2FB7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8B2A3FE9-C456-4F0F-A90B-17FB99C34B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7261-4E6D-A02E-4246D74D2FB7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75156A3B-3846-483E-A138-93FC0B7C38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7261-4E6D-A02E-4246D74D2FB7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58FC6A61-DF71-4B56-A3A9-482678CEBE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7261-4E6D-A02E-4246D74D2FB7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1CCCF5C9-7F74-445F-B486-DDF12A893C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7261-4E6D-A02E-4246D74D2FB7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2731285E-76DF-41B2-A0F0-ED9ACC2D71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7261-4E6D-A02E-4246D74D2FB7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6E575CC1-7876-4312-9971-787A71AA0E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7261-4E6D-A02E-4246D74D2FB7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0A471208-47AF-4D06-800A-34074EF829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7261-4E6D-A02E-4246D74D2FB7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B535C8C4-027D-4AD3-B384-5234FAF5A3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7261-4E6D-A02E-4246D74D2FB7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26F84BFE-B004-4B29-A7AA-3D0F583D61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7261-4E6D-A02E-4246D74D2FB7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1913F8CA-89E9-45F5-90FF-8755DD3FB2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7261-4E6D-A02E-4246D74D2FB7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67798A88-25E6-414B-9B22-C72874B46A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7261-4E6D-A02E-4246D74D2FB7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850090A8-F0D8-4249-9DDE-36D8559EA5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7261-4E6D-A02E-4246D74D2FB7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F9CF315F-1E42-4196-9B59-59AA605677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7261-4E6D-A02E-4246D74D2FB7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2A85A98E-9A9F-458C-B132-480F26FB60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7261-4E6D-A02E-4246D74D2FB7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85BD7053-1417-4C4E-A644-BBE0B5F2DE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7261-4E6D-A02E-4246D74D2FB7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16294456-FFCD-45F6-A74E-3AE0F8BC3B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7261-4E6D-A02E-4246D74D2FB7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2A180A6D-082F-449E-9875-E5743EDFF7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7261-4E6D-A02E-4246D74D2FB7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A62DC81E-5F62-4F9E-93EF-F19E2F52AA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7261-4E6D-A02E-4246D74D2FB7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E732D7C5-187F-45DE-87EF-DD22414C5E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7261-4E6D-A02E-4246D74D2FB7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289A877E-A7C1-4BDA-8227-41B4A2A36C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7261-4E6D-A02E-4246D74D2FB7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B2F73CB1-8362-488F-8189-E1CF286333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7261-4E6D-A02E-4246D74D2FB7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64184EB8-A778-4562-A41E-0445FCAB84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7261-4E6D-A02E-4246D74D2FB7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551039B4-B404-43BC-98E2-83970F8475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7261-4E6D-A02E-4246D74D2FB7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2DFEBE31-4CFD-478E-BEF2-64B27B48A3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7261-4E6D-A02E-4246D74D2FB7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FAD8239E-2342-4BEE-9847-1401EDC938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7261-4E6D-A02E-4246D74D2FB7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0FFD5C19-C223-4E8A-BA66-01A2C4F15D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7261-4E6D-A02E-4246D74D2FB7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17376585-C95D-48DB-A6CF-965E63AC1B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7261-4E6D-A02E-4246D74D2FB7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75A6909D-BAE5-4090-992B-9EEDE80055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7261-4E6D-A02E-4246D74D2FB7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0D0DBBEE-9D6D-4640-91BA-11C7E8F6DD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7261-4E6D-A02E-4246D74D2FB7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B078304B-8204-4C1D-8679-51DC605B57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7261-4E6D-A02E-4246D74D2FB7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22474743-21DD-4CC1-9D44-8D91E20E32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7261-4E6D-A02E-4246D74D2FB7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9945E5D3-32B5-4A9C-9D86-2634B2EFBC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7261-4E6D-A02E-4246D74D2FB7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B91A60BA-A414-4254-A971-7B0E66B0D6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7261-4E6D-A02E-4246D74D2FB7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EED4A376-1A91-4C16-A7B5-F3766B6D32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7261-4E6D-A02E-4246D74D2FB7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F127268A-65E1-43FA-9F8A-BA2F3181E8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7261-4E6D-A02E-4246D74D2FB7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D37B357F-72E0-475B-A78D-2F291A7BB0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7261-4E6D-A02E-4246D74D2FB7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150568B5-0441-4025-8F7C-1EFEF8EAD6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7261-4E6D-A02E-4246D74D2FB7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B2C965DF-902F-4CE4-9B86-61B01CD512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7261-4E6D-A02E-4246D74D2FB7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E31CBAE1-37A2-4E8C-8007-C27FD58129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7261-4E6D-A02E-4246D74D2FB7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D57E1881-993D-4525-B6D7-4D3C28B905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7261-4E6D-A02E-4246D74D2FB7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DE98FA33-ED3C-4B6D-AB64-2D5AA1246C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7261-4E6D-A02E-4246D74D2FB7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8555D716-562E-45A6-8B40-3159FED7BC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7261-4E6D-A02E-4246D74D2FB7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DBDB632C-CDA5-4B8E-9DA3-AA0EFFB20F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7261-4E6D-A02E-4246D74D2FB7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FE36B704-42DA-4052-BAF0-F4D0229436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7261-4E6D-A02E-4246D74D2FB7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9A3C1068-388E-454C-80F2-3A6166AA4A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7261-4E6D-A02E-4246D74D2FB7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29412D77-1960-46C5-B684-01F41815D8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7261-4E6D-A02E-4246D74D2FB7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7C394A21-4231-4EC4-813D-6787C10B93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7261-4E6D-A02E-4246D74D2FB7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F2106C65-7FA0-4871-8E3F-D438CE2FD5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7261-4E6D-A02E-4246D74D2FB7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FA9864C1-6995-42F1-9C58-9126667FDF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7261-4E6D-A02E-4246D74D2FB7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9D3D7A9C-347A-4BF5-B7FE-0079CBE823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7261-4E6D-A02E-4246D74D2FB7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DBAF8D56-0290-4A89-8258-666C1BCD9F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7261-4E6D-A02E-4246D74D2FB7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478E0988-C1C8-42E8-AEDC-414776044C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7261-4E6D-A02E-4246D74D2FB7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4B144E6A-77DA-48D8-B69E-CA98AD5DC8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7261-4E6D-A02E-4246D74D2FB7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54A9AA37-613C-4A2F-91CA-262EDBCCD9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7261-4E6D-A02E-4246D74D2FB7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6E6B52AB-C479-46D6-83D0-3790F2F8F7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7261-4E6D-A02E-4246D74D2FB7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15C3E088-324D-4688-BC76-C331D7B702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7261-4E6D-A02E-4246D74D2FB7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5B580DF5-0841-43F9-9667-6DFDA98F47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7261-4E6D-A02E-4246D74D2FB7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E9EFC1A4-168F-4220-9AE0-68FAB26A0B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7261-4E6D-A02E-4246D74D2FB7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7A1AA30A-D19E-4655-B1DD-FA5B3A8C69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7261-4E6D-A02E-4246D74D2FB7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fld id="{8FF60096-1F2A-4470-9A9A-03F8E13DBA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7261-4E6D-A02E-4246D74D2FB7}"/>
                </c:ext>
              </c:extLst>
            </c:dLbl>
            <c:spPr>
              <a:solidFill>
                <a:sysClr val="windowText" lastClr="000000">
                  <a:lumMod val="65000"/>
                  <a:lumOff val="3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15000"/>
                        <a:lumOff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trendline>
            <c:spPr>
              <a:ln w="25400" cap="rnd">
                <a:solidFill>
                  <a:schemeClr val="accent3">
                    <a:lumMod val="60000"/>
                    <a:lumOff val="40000"/>
                    <a:alpha val="50000"/>
                  </a:schemeClr>
                </a:solidFill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9298863653603993"/>
                  <c:y val="-0.109438704554994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'46421-0002'!$AC$9:$AC$230</c:f>
              <c:numCache>
                <c:formatCode>General</c:formatCode>
                <c:ptCount val="222"/>
                <c:pt idx="0">
                  <c:v>5794</c:v>
                </c:pt>
                <c:pt idx="1">
                  <c:v>1</c:v>
                </c:pt>
                <c:pt idx="2">
                  <c:v>366</c:v>
                </c:pt>
                <c:pt idx="3">
                  <c:v>149</c:v>
                </c:pt>
                <c:pt idx="4">
                  <c:v>848</c:v>
                </c:pt>
                <c:pt idx="5">
                  <c:v>603</c:v>
                </c:pt>
                <c:pt idx="6">
                  <c:v>0</c:v>
                </c:pt>
                <c:pt idx="7">
                  <c:v>157</c:v>
                </c:pt>
                <c:pt idx="8">
                  <c:v>0</c:v>
                </c:pt>
                <c:pt idx="9">
                  <c:v>22</c:v>
                </c:pt>
                <c:pt idx="10">
                  <c:v>343</c:v>
                </c:pt>
                <c:pt idx="11">
                  <c:v>15</c:v>
                </c:pt>
                <c:pt idx="12">
                  <c:v>658</c:v>
                </c:pt>
                <c:pt idx="13">
                  <c:v>1</c:v>
                </c:pt>
                <c:pt idx="14">
                  <c:v>1</c:v>
                </c:pt>
                <c:pt idx="15">
                  <c:v>761</c:v>
                </c:pt>
                <c:pt idx="16">
                  <c:v>0</c:v>
                </c:pt>
                <c:pt idx="17">
                  <c:v>71</c:v>
                </c:pt>
                <c:pt idx="18">
                  <c:v>13997</c:v>
                </c:pt>
                <c:pt idx="19">
                  <c:v>0</c:v>
                </c:pt>
                <c:pt idx="20">
                  <c:v>4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  <c:pt idx="24">
                  <c:v>943</c:v>
                </c:pt>
                <c:pt idx="25">
                  <c:v>0</c:v>
                </c:pt>
                <c:pt idx="26">
                  <c:v>1699</c:v>
                </c:pt>
                <c:pt idx="27">
                  <c:v>0</c:v>
                </c:pt>
                <c:pt idx="28">
                  <c:v>0</c:v>
                </c:pt>
                <c:pt idx="29">
                  <c:v>7005</c:v>
                </c:pt>
                <c:pt idx="30">
                  <c:v>5</c:v>
                </c:pt>
                <c:pt idx="31">
                  <c:v>0</c:v>
                </c:pt>
                <c:pt idx="32">
                  <c:v>240</c:v>
                </c:pt>
                <c:pt idx="33">
                  <c:v>0</c:v>
                </c:pt>
                <c:pt idx="34">
                  <c:v>6977</c:v>
                </c:pt>
                <c:pt idx="35">
                  <c:v>0</c:v>
                </c:pt>
                <c:pt idx="36">
                  <c:v>1</c:v>
                </c:pt>
                <c:pt idx="37">
                  <c:v>18994</c:v>
                </c:pt>
                <c:pt idx="38">
                  <c:v>295178</c:v>
                </c:pt>
                <c:pt idx="39">
                  <c:v>0</c:v>
                </c:pt>
                <c:pt idx="40">
                  <c:v>1375</c:v>
                </c:pt>
                <c:pt idx="41">
                  <c:v>7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2013</c:v>
                </c:pt>
                <c:pt idx="46">
                  <c:v>3</c:v>
                </c:pt>
                <c:pt idx="47">
                  <c:v>0</c:v>
                </c:pt>
                <c:pt idx="48">
                  <c:v>0</c:v>
                </c:pt>
                <c:pt idx="49">
                  <c:v>7384</c:v>
                </c:pt>
                <c:pt idx="50">
                  <c:v>44535</c:v>
                </c:pt>
                <c:pt idx="51">
                  <c:v>0</c:v>
                </c:pt>
                <c:pt idx="52">
                  <c:v>1</c:v>
                </c:pt>
                <c:pt idx="53">
                  <c:v>24</c:v>
                </c:pt>
                <c:pt idx="54">
                  <c:v>1</c:v>
                </c:pt>
                <c:pt idx="55">
                  <c:v>445</c:v>
                </c:pt>
                <c:pt idx="56">
                  <c:v>4</c:v>
                </c:pt>
                <c:pt idx="57">
                  <c:v>4</c:v>
                </c:pt>
                <c:pt idx="58">
                  <c:v>23</c:v>
                </c:pt>
                <c:pt idx="59">
                  <c:v>10202</c:v>
                </c:pt>
                <c:pt idx="60">
                  <c:v>9743</c:v>
                </c:pt>
                <c:pt idx="61">
                  <c:v>7</c:v>
                </c:pt>
                <c:pt idx="62">
                  <c:v>3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2</c:v>
                </c:pt>
                <c:pt idx="69">
                  <c:v>0</c:v>
                </c:pt>
                <c:pt idx="70">
                  <c:v>1836</c:v>
                </c:pt>
                <c:pt idx="71">
                  <c:v>3323</c:v>
                </c:pt>
                <c:pt idx="72">
                  <c:v>1</c:v>
                </c:pt>
                <c:pt idx="73">
                  <c:v>612</c:v>
                </c:pt>
                <c:pt idx="74">
                  <c:v>1111</c:v>
                </c:pt>
                <c:pt idx="75">
                  <c:v>7196</c:v>
                </c:pt>
                <c:pt idx="76">
                  <c:v>2245</c:v>
                </c:pt>
                <c:pt idx="77">
                  <c:v>4573</c:v>
                </c:pt>
                <c:pt idx="78">
                  <c:v>67681</c:v>
                </c:pt>
                <c:pt idx="79">
                  <c:v>155</c:v>
                </c:pt>
                <c:pt idx="80">
                  <c:v>3378</c:v>
                </c:pt>
                <c:pt idx="81">
                  <c:v>0</c:v>
                </c:pt>
                <c:pt idx="82">
                  <c:v>983</c:v>
                </c:pt>
                <c:pt idx="83">
                  <c:v>0</c:v>
                </c:pt>
                <c:pt idx="84">
                  <c:v>1</c:v>
                </c:pt>
                <c:pt idx="85">
                  <c:v>7</c:v>
                </c:pt>
                <c:pt idx="86">
                  <c:v>3990</c:v>
                </c:pt>
                <c:pt idx="87">
                  <c:v>938</c:v>
                </c:pt>
                <c:pt idx="88">
                  <c:v>2256</c:v>
                </c:pt>
                <c:pt idx="89">
                  <c:v>424</c:v>
                </c:pt>
                <c:pt idx="90">
                  <c:v>2</c:v>
                </c:pt>
                <c:pt idx="91">
                  <c:v>0</c:v>
                </c:pt>
                <c:pt idx="92">
                  <c:v>342</c:v>
                </c:pt>
                <c:pt idx="93">
                  <c:v>0</c:v>
                </c:pt>
                <c:pt idx="94">
                  <c:v>5</c:v>
                </c:pt>
                <c:pt idx="95">
                  <c:v>1</c:v>
                </c:pt>
                <c:pt idx="96">
                  <c:v>0</c:v>
                </c:pt>
                <c:pt idx="97">
                  <c:v>2272</c:v>
                </c:pt>
                <c:pt idx="98">
                  <c:v>2009</c:v>
                </c:pt>
                <c:pt idx="99">
                  <c:v>8276</c:v>
                </c:pt>
                <c:pt idx="100">
                  <c:v>940</c:v>
                </c:pt>
                <c:pt idx="101">
                  <c:v>853</c:v>
                </c:pt>
                <c:pt idx="102">
                  <c:v>0</c:v>
                </c:pt>
                <c:pt idx="103">
                  <c:v>0</c:v>
                </c:pt>
                <c:pt idx="104">
                  <c:v>3944</c:v>
                </c:pt>
                <c:pt idx="105">
                  <c:v>1327</c:v>
                </c:pt>
                <c:pt idx="106">
                  <c:v>0</c:v>
                </c:pt>
                <c:pt idx="107">
                  <c:v>15</c:v>
                </c:pt>
                <c:pt idx="108">
                  <c:v>1896</c:v>
                </c:pt>
                <c:pt idx="109">
                  <c:v>5341</c:v>
                </c:pt>
                <c:pt idx="110">
                  <c:v>0</c:v>
                </c:pt>
                <c:pt idx="111">
                  <c:v>0</c:v>
                </c:pt>
                <c:pt idx="112">
                  <c:v>1</c:v>
                </c:pt>
                <c:pt idx="113">
                  <c:v>41</c:v>
                </c:pt>
                <c:pt idx="114">
                  <c:v>154</c:v>
                </c:pt>
                <c:pt idx="115">
                  <c:v>70</c:v>
                </c:pt>
                <c:pt idx="116">
                  <c:v>2340</c:v>
                </c:pt>
                <c:pt idx="117">
                  <c:v>0</c:v>
                </c:pt>
                <c:pt idx="118">
                  <c:v>2998</c:v>
                </c:pt>
                <c:pt idx="119">
                  <c:v>27</c:v>
                </c:pt>
                <c:pt idx="120">
                  <c:v>0</c:v>
                </c:pt>
                <c:pt idx="121">
                  <c:v>295</c:v>
                </c:pt>
                <c:pt idx="122">
                  <c:v>1047</c:v>
                </c:pt>
                <c:pt idx="123">
                  <c:v>1319</c:v>
                </c:pt>
                <c:pt idx="124">
                  <c:v>612</c:v>
                </c:pt>
                <c:pt idx="125">
                  <c:v>0</c:v>
                </c:pt>
                <c:pt idx="126">
                  <c:v>21</c:v>
                </c:pt>
                <c:pt idx="127">
                  <c:v>329</c:v>
                </c:pt>
                <c:pt idx="128">
                  <c:v>0</c:v>
                </c:pt>
                <c:pt idx="129">
                  <c:v>0</c:v>
                </c:pt>
                <c:pt idx="130">
                  <c:v>454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83</c:v>
                </c:pt>
                <c:pt idx="136">
                  <c:v>24186</c:v>
                </c:pt>
                <c:pt idx="137">
                  <c:v>2</c:v>
                </c:pt>
                <c:pt idx="138">
                  <c:v>693</c:v>
                </c:pt>
                <c:pt idx="139">
                  <c:v>6425</c:v>
                </c:pt>
                <c:pt idx="140">
                  <c:v>36669</c:v>
                </c:pt>
                <c:pt idx="141">
                  <c:v>757</c:v>
                </c:pt>
                <c:pt idx="142">
                  <c:v>5</c:v>
                </c:pt>
                <c:pt idx="143">
                  <c:v>0</c:v>
                </c:pt>
                <c:pt idx="144">
                  <c:v>216</c:v>
                </c:pt>
                <c:pt idx="145">
                  <c:v>0</c:v>
                </c:pt>
                <c:pt idx="146">
                  <c:v>3</c:v>
                </c:pt>
                <c:pt idx="147">
                  <c:v>0</c:v>
                </c:pt>
                <c:pt idx="148">
                  <c:v>0</c:v>
                </c:pt>
                <c:pt idx="149">
                  <c:v>25045</c:v>
                </c:pt>
                <c:pt idx="150">
                  <c:v>14574</c:v>
                </c:pt>
                <c:pt idx="151">
                  <c:v>45</c:v>
                </c:pt>
                <c:pt idx="152">
                  <c:v>0</c:v>
                </c:pt>
                <c:pt idx="153">
                  <c:v>1</c:v>
                </c:pt>
                <c:pt idx="154">
                  <c:v>10736</c:v>
                </c:pt>
                <c:pt idx="155">
                  <c:v>191</c:v>
                </c:pt>
                <c:pt idx="156">
                  <c:v>16726</c:v>
                </c:pt>
                <c:pt idx="157">
                  <c:v>0</c:v>
                </c:pt>
                <c:pt idx="158">
                  <c:v>1</c:v>
                </c:pt>
                <c:pt idx="159">
                  <c:v>0</c:v>
                </c:pt>
                <c:pt idx="160">
                  <c:v>0</c:v>
                </c:pt>
                <c:pt idx="161">
                  <c:v>2180</c:v>
                </c:pt>
                <c:pt idx="162">
                  <c:v>17090</c:v>
                </c:pt>
                <c:pt idx="163">
                  <c:v>40509</c:v>
                </c:pt>
                <c:pt idx="164">
                  <c:v>272</c:v>
                </c:pt>
                <c:pt idx="165">
                  <c:v>3721</c:v>
                </c:pt>
                <c:pt idx="166">
                  <c:v>69</c:v>
                </c:pt>
                <c:pt idx="167">
                  <c:v>6</c:v>
                </c:pt>
                <c:pt idx="168">
                  <c:v>0</c:v>
                </c:pt>
                <c:pt idx="169">
                  <c:v>1526</c:v>
                </c:pt>
                <c:pt idx="170">
                  <c:v>792</c:v>
                </c:pt>
                <c:pt idx="171">
                  <c:v>2342</c:v>
                </c:pt>
                <c:pt idx="172">
                  <c:v>0</c:v>
                </c:pt>
                <c:pt idx="173">
                  <c:v>30788</c:v>
                </c:pt>
                <c:pt idx="174">
                  <c:v>39920</c:v>
                </c:pt>
                <c:pt idx="175">
                  <c:v>18143</c:v>
                </c:pt>
                <c:pt idx="176">
                  <c:v>191</c:v>
                </c:pt>
                <c:pt idx="177">
                  <c:v>0</c:v>
                </c:pt>
                <c:pt idx="178">
                  <c:v>9</c:v>
                </c:pt>
                <c:pt idx="179">
                  <c:v>2</c:v>
                </c:pt>
                <c:pt idx="180">
                  <c:v>0</c:v>
                </c:pt>
                <c:pt idx="181">
                  <c:v>1</c:v>
                </c:pt>
                <c:pt idx="182">
                  <c:v>1381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53</c:v>
                </c:pt>
                <c:pt idx="187">
                  <c:v>365</c:v>
                </c:pt>
                <c:pt idx="188">
                  <c:v>82</c:v>
                </c:pt>
                <c:pt idx="189">
                  <c:v>1999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56</c:v>
                </c:pt>
                <c:pt idx="194">
                  <c:v>0</c:v>
                </c:pt>
                <c:pt idx="195">
                  <c:v>8451</c:v>
                </c:pt>
                <c:pt idx="196">
                  <c:v>46434</c:v>
                </c:pt>
                <c:pt idx="197">
                  <c:v>2259</c:v>
                </c:pt>
                <c:pt idx="198">
                  <c:v>90</c:v>
                </c:pt>
                <c:pt idx="199">
                  <c:v>0</c:v>
                </c:pt>
                <c:pt idx="200">
                  <c:v>0</c:v>
                </c:pt>
                <c:pt idx="201">
                  <c:v>4</c:v>
                </c:pt>
                <c:pt idx="202">
                  <c:v>3683</c:v>
                </c:pt>
                <c:pt idx="203">
                  <c:v>7762</c:v>
                </c:pt>
                <c:pt idx="204">
                  <c:v>0</c:v>
                </c:pt>
                <c:pt idx="205">
                  <c:v>284</c:v>
                </c:pt>
                <c:pt idx="206">
                  <c:v>0</c:v>
                </c:pt>
                <c:pt idx="207">
                  <c:v>74</c:v>
                </c:pt>
                <c:pt idx="208">
                  <c:v>8655</c:v>
                </c:pt>
                <c:pt idx="209">
                  <c:v>64</c:v>
                </c:pt>
                <c:pt idx="210">
                  <c:v>0</c:v>
                </c:pt>
                <c:pt idx="211">
                  <c:v>3154</c:v>
                </c:pt>
                <c:pt idx="212">
                  <c:v>1831</c:v>
                </c:pt>
                <c:pt idx="213">
                  <c:v>11303</c:v>
                </c:pt>
                <c:pt idx="214">
                  <c:v>584</c:v>
                </c:pt>
                <c:pt idx="215">
                  <c:v>5324</c:v>
                </c:pt>
                <c:pt idx="216">
                  <c:v>3247</c:v>
                </c:pt>
                <c:pt idx="217">
                  <c:v>71731</c:v>
                </c:pt>
                <c:pt idx="218">
                  <c:v>412</c:v>
                </c:pt>
                <c:pt idx="219">
                  <c:v>1078</c:v>
                </c:pt>
                <c:pt idx="220">
                  <c:v>0</c:v>
                </c:pt>
                <c:pt idx="221">
                  <c:v>945</c:v>
                </c:pt>
              </c:numCache>
            </c:numRef>
          </c:xVal>
          <c:yVal>
            <c:numRef>
              <c:f>'46421-0002'!$B$9:$B$230</c:f>
              <c:numCache>
                <c:formatCode>General</c:formatCode>
                <c:ptCount val="222"/>
                <c:pt idx="0">
                  <c:v>275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2039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268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</c:v>
                </c:pt>
                <c:pt idx="35">
                  <c:v>0</c:v>
                </c:pt>
                <c:pt idx="36">
                  <c:v>0</c:v>
                </c:pt>
                <c:pt idx="37">
                  <c:v>867</c:v>
                </c:pt>
                <c:pt idx="38">
                  <c:v>4964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11</c:v>
                </c:pt>
                <c:pt idx="50">
                  <c:v>2453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31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1185</c:v>
                </c:pt>
                <c:pt idx="60">
                  <c:v>279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5</c:v>
                </c:pt>
                <c:pt idx="74">
                  <c:v>104</c:v>
                </c:pt>
                <c:pt idx="75">
                  <c:v>697</c:v>
                </c:pt>
                <c:pt idx="76">
                  <c:v>282</c:v>
                </c:pt>
                <c:pt idx="77">
                  <c:v>875</c:v>
                </c:pt>
                <c:pt idx="78">
                  <c:v>4630</c:v>
                </c:pt>
                <c:pt idx="79">
                  <c:v>0</c:v>
                </c:pt>
                <c:pt idx="80">
                  <c:v>2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</c:v>
                </c:pt>
                <c:pt idx="87">
                  <c:v>13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135</c:v>
                </c:pt>
                <c:pt idx="99">
                  <c:v>200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373</c:v>
                </c:pt>
                <c:pt idx="105">
                  <c:v>172</c:v>
                </c:pt>
                <c:pt idx="106">
                  <c:v>0</c:v>
                </c:pt>
                <c:pt idx="107">
                  <c:v>1</c:v>
                </c:pt>
                <c:pt idx="108">
                  <c:v>66</c:v>
                </c:pt>
                <c:pt idx="109">
                  <c:v>13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92</c:v>
                </c:pt>
                <c:pt idx="117">
                  <c:v>0</c:v>
                </c:pt>
                <c:pt idx="118">
                  <c:v>71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83</c:v>
                </c:pt>
                <c:pt idx="123">
                  <c:v>0</c:v>
                </c:pt>
                <c:pt idx="124">
                  <c:v>3</c:v>
                </c:pt>
                <c:pt idx="125">
                  <c:v>0</c:v>
                </c:pt>
                <c:pt idx="126">
                  <c:v>0</c:v>
                </c:pt>
                <c:pt idx="127">
                  <c:v>36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</c:v>
                </c:pt>
                <c:pt idx="136">
                  <c:v>1378</c:v>
                </c:pt>
                <c:pt idx="137">
                  <c:v>0</c:v>
                </c:pt>
                <c:pt idx="138">
                  <c:v>0</c:v>
                </c:pt>
                <c:pt idx="139">
                  <c:v>1349</c:v>
                </c:pt>
                <c:pt idx="140">
                  <c:v>634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139</c:v>
                </c:pt>
                <c:pt idx="150">
                  <c:v>1081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328</c:v>
                </c:pt>
                <c:pt idx="155">
                  <c:v>2</c:v>
                </c:pt>
                <c:pt idx="156">
                  <c:v>2310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11</c:v>
                </c:pt>
                <c:pt idx="162">
                  <c:v>412</c:v>
                </c:pt>
                <c:pt idx="163">
                  <c:v>2381</c:v>
                </c:pt>
                <c:pt idx="164">
                  <c:v>0</c:v>
                </c:pt>
                <c:pt idx="165">
                  <c:v>38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344</c:v>
                </c:pt>
                <c:pt idx="171">
                  <c:v>0</c:v>
                </c:pt>
                <c:pt idx="172">
                  <c:v>0</c:v>
                </c:pt>
                <c:pt idx="173">
                  <c:v>1068</c:v>
                </c:pt>
                <c:pt idx="174">
                  <c:v>3113</c:v>
                </c:pt>
                <c:pt idx="175">
                  <c:v>844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111</c:v>
                </c:pt>
                <c:pt idx="196">
                  <c:v>1119</c:v>
                </c:pt>
                <c:pt idx="197">
                  <c:v>138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31</c:v>
                </c:pt>
                <c:pt idx="203">
                  <c:v>488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13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32</c:v>
                </c:pt>
                <c:pt idx="214">
                  <c:v>1</c:v>
                </c:pt>
                <c:pt idx="215">
                  <c:v>1</c:v>
                </c:pt>
                <c:pt idx="216">
                  <c:v>6</c:v>
                </c:pt>
                <c:pt idx="217">
                  <c:v>6647</c:v>
                </c:pt>
                <c:pt idx="218">
                  <c:v>0</c:v>
                </c:pt>
                <c:pt idx="219">
                  <c:v>253</c:v>
                </c:pt>
                <c:pt idx="220">
                  <c:v>0</c:v>
                </c:pt>
                <c:pt idx="221">
                  <c:v>198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'46421-0002'!$A$9:$A$230</c15:f>
                <c15:dlblRangeCache>
                  <c:ptCount val="222"/>
                  <c:pt idx="0">
                    <c:v>Ägypten</c:v>
                  </c:pt>
                  <c:pt idx="1">
                    <c:v>Äquatorialguinea</c:v>
                  </c:pt>
                  <c:pt idx="2">
                    <c:v>Äthiopien</c:v>
                  </c:pt>
                  <c:pt idx="3">
                    <c:v>Afghanistan</c:v>
                  </c:pt>
                  <c:pt idx="4">
                    <c:v>Albanien</c:v>
                  </c:pt>
                  <c:pt idx="5">
                    <c:v>Algerien</c:v>
                  </c:pt>
                  <c:pt idx="6">
                    <c:v>Amerikanische Jungferninseln</c:v>
                  </c:pt>
                  <c:pt idx="7">
                    <c:v>Angola</c:v>
                  </c:pt>
                  <c:pt idx="8">
                    <c:v>Antarktis</c:v>
                  </c:pt>
                  <c:pt idx="9">
                    <c:v>Antigua und Barbuda</c:v>
                  </c:pt>
                  <c:pt idx="10">
                    <c:v>Argentinien</c:v>
                  </c:pt>
                  <c:pt idx="11">
                    <c:v>Armenien</c:v>
                  </c:pt>
                  <c:pt idx="12">
                    <c:v>Aserbaidschan</c:v>
                  </c:pt>
                  <c:pt idx="13">
                    <c:v>Australien</c:v>
                  </c:pt>
                  <c:pt idx="14">
                    <c:v>Bahamas</c:v>
                  </c:pt>
                  <c:pt idx="15">
                    <c:v>Bahrain</c:v>
                  </c:pt>
                  <c:pt idx="16">
                    <c:v>Bangladesch</c:v>
                  </c:pt>
                  <c:pt idx="17">
                    <c:v>Barbados</c:v>
                  </c:pt>
                  <c:pt idx="18">
                    <c:v>Belgien</c:v>
                  </c:pt>
                  <c:pt idx="19">
                    <c:v>Belize</c:v>
                  </c:pt>
                  <c:pt idx="20">
                    <c:v>Benin</c:v>
                  </c:pt>
                  <c:pt idx="21">
                    <c:v>Bermuda</c:v>
                  </c:pt>
                  <c:pt idx="22">
                    <c:v>Bhutan</c:v>
                  </c:pt>
                  <c:pt idx="23">
                    <c:v>Bolivien, Plurinationaler Staat</c:v>
                  </c:pt>
                  <c:pt idx="24">
                    <c:v>Bosnien und Herzegowina</c:v>
                  </c:pt>
                  <c:pt idx="25">
                    <c:v>Botsuana</c:v>
                  </c:pt>
                  <c:pt idx="26">
                    <c:v>Brasilien</c:v>
                  </c:pt>
                  <c:pt idx="27">
                    <c:v>Britische Jungferninseln</c:v>
                  </c:pt>
                  <c:pt idx="28">
                    <c:v>Brunei Darussalam</c:v>
                  </c:pt>
                  <c:pt idx="29">
                    <c:v>Bulgarien</c:v>
                  </c:pt>
                  <c:pt idx="30">
                    <c:v>Burkina Faso</c:v>
                  </c:pt>
                  <c:pt idx="31">
                    <c:v>Burundi</c:v>
                  </c:pt>
                  <c:pt idx="32">
                    <c:v>Cabo Verde</c:v>
                  </c:pt>
                  <c:pt idx="33">
                    <c:v>Chile</c:v>
                  </c:pt>
                  <c:pt idx="34">
                    <c:v>China</c:v>
                  </c:pt>
                  <c:pt idx="35">
                    <c:v>Costa Rica</c:v>
                  </c:pt>
                  <c:pt idx="36">
                    <c:v>Cote d'Ivoire</c:v>
                  </c:pt>
                  <c:pt idx="37">
                    <c:v>Dänemark</c:v>
                  </c:pt>
                  <c:pt idx="38">
                    <c:v>Deutschland</c:v>
                  </c:pt>
                  <c:pt idx="39">
                    <c:v>Dominica</c:v>
                  </c:pt>
                  <c:pt idx="40">
                    <c:v>Dominikanische Republik</c:v>
                  </c:pt>
                  <c:pt idx="41">
                    <c:v>Dschibuti</c:v>
                  </c:pt>
                  <c:pt idx="42">
                    <c:v>Ecuador</c:v>
                  </c:pt>
                  <c:pt idx="43">
                    <c:v>El Salvador</c:v>
                  </c:pt>
                  <c:pt idx="44">
                    <c:v>Eritrea</c:v>
                  </c:pt>
                  <c:pt idx="45">
                    <c:v>Estland</c:v>
                  </c:pt>
                  <c:pt idx="46">
                    <c:v>Färöer</c:v>
                  </c:pt>
                  <c:pt idx="47">
                    <c:v>Falklandinseln</c:v>
                  </c:pt>
                  <c:pt idx="48">
                    <c:v>Fidschi</c:v>
                  </c:pt>
                  <c:pt idx="49">
                    <c:v>Finnland</c:v>
                  </c:pt>
                  <c:pt idx="50">
                    <c:v>Frankreich</c:v>
                  </c:pt>
                  <c:pt idx="51">
                    <c:v>Französisch0Guayana</c:v>
                  </c:pt>
                  <c:pt idx="52">
                    <c:v>Französisch0Polynesien</c:v>
                  </c:pt>
                  <c:pt idx="53">
                    <c:v>Gabun</c:v>
                  </c:pt>
                  <c:pt idx="54">
                    <c:v>Gambia</c:v>
                  </c:pt>
                  <c:pt idx="55">
                    <c:v>Georgien</c:v>
                  </c:pt>
                  <c:pt idx="56">
                    <c:v>Ghana</c:v>
                  </c:pt>
                  <c:pt idx="57">
                    <c:v>Gibraltar</c:v>
                  </c:pt>
                  <c:pt idx="58">
                    <c:v>Grenada</c:v>
                  </c:pt>
                  <c:pt idx="59">
                    <c:v>Griechenland, Festland</c:v>
                  </c:pt>
                  <c:pt idx="60">
                    <c:v>Griechenland, Inseln</c:v>
                  </c:pt>
                  <c:pt idx="61">
                    <c:v>Grönland</c:v>
                  </c:pt>
                  <c:pt idx="62">
                    <c:v>Guadeloupe</c:v>
                  </c:pt>
                  <c:pt idx="63">
                    <c:v>Guam</c:v>
                  </c:pt>
                  <c:pt idx="64">
                    <c:v>Guatemala</c:v>
                  </c:pt>
                  <c:pt idx="65">
                    <c:v>Guinea</c:v>
                  </c:pt>
                  <c:pt idx="66">
                    <c:v>Guinea0Bissau</c:v>
                  </c:pt>
                  <c:pt idx="67">
                    <c:v>Guyana</c:v>
                  </c:pt>
                  <c:pt idx="68">
                    <c:v>Haiti</c:v>
                  </c:pt>
                  <c:pt idx="69">
                    <c:v>Honduras</c:v>
                  </c:pt>
                  <c:pt idx="70">
                    <c:v>Hongkong</c:v>
                  </c:pt>
                  <c:pt idx="71">
                    <c:v>Indien</c:v>
                  </c:pt>
                  <c:pt idx="72">
                    <c:v>Indonesien</c:v>
                  </c:pt>
                  <c:pt idx="73">
                    <c:v>Irak</c:v>
                  </c:pt>
                  <c:pt idx="74">
                    <c:v>Iran, Islamische Republik</c:v>
                  </c:pt>
                  <c:pt idx="75">
                    <c:v>Irland</c:v>
                  </c:pt>
                  <c:pt idx="76">
                    <c:v>Island</c:v>
                  </c:pt>
                  <c:pt idx="77">
                    <c:v>Israel</c:v>
                  </c:pt>
                  <c:pt idx="78">
                    <c:v>Italien</c:v>
                  </c:pt>
                  <c:pt idx="79">
                    <c:v>Jamaika</c:v>
                  </c:pt>
                  <c:pt idx="80">
                    <c:v>Japan</c:v>
                  </c:pt>
                  <c:pt idx="81">
                    <c:v>Jemen</c:v>
                  </c:pt>
                  <c:pt idx="82">
                    <c:v>Jordanien</c:v>
                  </c:pt>
                  <c:pt idx="83">
                    <c:v>Kaimaninseln</c:v>
                  </c:pt>
                  <c:pt idx="84">
                    <c:v>Kambodscha</c:v>
                  </c:pt>
                  <c:pt idx="85">
                    <c:v>Kamerun</c:v>
                  </c:pt>
                  <c:pt idx="86">
                    <c:v>Kanada</c:v>
                  </c:pt>
                  <c:pt idx="87">
                    <c:v>Kasachstan</c:v>
                  </c:pt>
                  <c:pt idx="88">
                    <c:v>Katar</c:v>
                  </c:pt>
                  <c:pt idx="89">
                    <c:v>Kenia</c:v>
                  </c:pt>
                  <c:pt idx="90">
                    <c:v>Kirgisistan</c:v>
                  </c:pt>
                  <c:pt idx="91">
                    <c:v>Kiribati</c:v>
                  </c:pt>
                  <c:pt idx="92">
                    <c:v>Kolumbien</c:v>
                  </c:pt>
                  <c:pt idx="93">
                    <c:v>Komoren</c:v>
                  </c:pt>
                  <c:pt idx="94">
                    <c:v>Kongo, Demokratische Republik</c:v>
                  </c:pt>
                  <c:pt idx="95">
                    <c:v>Kongo, Republik</c:v>
                  </c:pt>
                  <c:pt idx="96">
                    <c:v>Korea, Demokratische Volksrepublik</c:v>
                  </c:pt>
                  <c:pt idx="97">
                    <c:v>Korea, Republik</c:v>
                  </c:pt>
                  <c:pt idx="98">
                    <c:v>Kosovo</c:v>
                  </c:pt>
                  <c:pt idx="99">
                    <c:v>Kroatien</c:v>
                  </c:pt>
                  <c:pt idx="100">
                    <c:v>Kuba</c:v>
                  </c:pt>
                  <c:pt idx="101">
                    <c:v>Kuwait</c:v>
                  </c:pt>
                  <c:pt idx="102">
                    <c:v>Laos, Demokratische Volksrepublik</c:v>
                  </c:pt>
                  <c:pt idx="103">
                    <c:v>Lesotho</c:v>
                  </c:pt>
                  <c:pt idx="104">
                    <c:v>Lettland</c:v>
                  </c:pt>
                  <c:pt idx="105">
                    <c:v>Libanon</c:v>
                  </c:pt>
                  <c:pt idx="106">
                    <c:v>Liberia</c:v>
                  </c:pt>
                  <c:pt idx="107">
                    <c:v>Libyen</c:v>
                  </c:pt>
                  <c:pt idx="108">
                    <c:v>Litauen</c:v>
                  </c:pt>
                  <c:pt idx="109">
                    <c:v>Luxemburg</c:v>
                  </c:pt>
                  <c:pt idx="110">
                    <c:v>Macao</c:v>
                  </c:pt>
                  <c:pt idx="111">
                    <c:v>Madagaskar</c:v>
                  </c:pt>
                  <c:pt idx="112">
                    <c:v>Malawi</c:v>
                  </c:pt>
                  <c:pt idx="113">
                    <c:v>Malaysia</c:v>
                  </c:pt>
                  <c:pt idx="114">
                    <c:v>Malediven</c:v>
                  </c:pt>
                  <c:pt idx="115">
                    <c:v>Mali</c:v>
                  </c:pt>
                  <c:pt idx="116">
                    <c:v>Malta</c:v>
                  </c:pt>
                  <c:pt idx="117">
                    <c:v>Marianen</c:v>
                  </c:pt>
                  <c:pt idx="118">
                    <c:v>Marokko</c:v>
                  </c:pt>
                  <c:pt idx="119">
                    <c:v>Martinique</c:v>
                  </c:pt>
                  <c:pt idx="120">
                    <c:v>Mauretanien</c:v>
                  </c:pt>
                  <c:pt idx="121">
                    <c:v>Mauritius</c:v>
                  </c:pt>
                  <c:pt idx="122">
                    <c:v>Mazedonien, ehemalige jugoslawische Republik</c:v>
                  </c:pt>
                  <c:pt idx="123">
                    <c:v>Mexiko</c:v>
                  </c:pt>
                  <c:pt idx="124">
                    <c:v>Moldau, Republik</c:v>
                  </c:pt>
                  <c:pt idx="125">
                    <c:v>Monaco</c:v>
                  </c:pt>
                  <c:pt idx="126">
                    <c:v>Mongolei</c:v>
                  </c:pt>
                  <c:pt idx="127">
                    <c:v>Montenegro (ab 03.06.2006)</c:v>
                  </c:pt>
                  <c:pt idx="128">
                    <c:v>Mosambik</c:v>
                  </c:pt>
                  <c:pt idx="129">
                    <c:v>Myanmar</c:v>
                  </c:pt>
                  <c:pt idx="130">
                    <c:v>Namibia</c:v>
                  </c:pt>
                  <c:pt idx="131">
                    <c:v>Nepal</c:v>
                  </c:pt>
                  <c:pt idx="132">
                    <c:v>Neukaledonien</c:v>
                  </c:pt>
                  <c:pt idx="133">
                    <c:v>Neuseeland</c:v>
                  </c:pt>
                  <c:pt idx="134">
                    <c:v>Nicaragua</c:v>
                  </c:pt>
                  <c:pt idx="135">
                    <c:v>Niederländische Antillen</c:v>
                  </c:pt>
                  <c:pt idx="136">
                    <c:v>Niederlande</c:v>
                  </c:pt>
                  <c:pt idx="137">
                    <c:v>Niger</c:v>
                  </c:pt>
                  <c:pt idx="138">
                    <c:v>Nigeria</c:v>
                  </c:pt>
                  <c:pt idx="139">
                    <c:v>Norwegen</c:v>
                  </c:pt>
                  <c:pt idx="140">
                    <c:v>Österreich</c:v>
                  </c:pt>
                  <c:pt idx="141">
                    <c:v>Oman</c:v>
                  </c:pt>
                  <c:pt idx="142">
                    <c:v>Pakistan</c:v>
                  </c:pt>
                  <c:pt idx="143">
                    <c:v>Palau</c:v>
                  </c:pt>
                  <c:pt idx="144">
                    <c:v>Panama</c:v>
                  </c:pt>
                  <c:pt idx="145">
                    <c:v>Papua0Neuguinea</c:v>
                  </c:pt>
                  <c:pt idx="146">
                    <c:v>Paraguay</c:v>
                  </c:pt>
                  <c:pt idx="147">
                    <c:v>Peru</c:v>
                  </c:pt>
                  <c:pt idx="148">
                    <c:v>Philippinen</c:v>
                  </c:pt>
                  <c:pt idx="149">
                    <c:v>Polen</c:v>
                  </c:pt>
                  <c:pt idx="150">
                    <c:v>Portugal</c:v>
                  </c:pt>
                  <c:pt idx="151">
                    <c:v>Puerto Rico</c:v>
                  </c:pt>
                  <c:pt idx="152">
                    <c:v>Reunion</c:v>
                  </c:pt>
                  <c:pt idx="153">
                    <c:v>Ruanda</c:v>
                  </c:pt>
                  <c:pt idx="154">
                    <c:v>Rumänien</c:v>
                  </c:pt>
                  <c:pt idx="155">
                    <c:v>Russische Föderation, asiatischer Teil</c:v>
                  </c:pt>
                  <c:pt idx="156">
                    <c:v>Russische Föderation, europäischer Teil</c:v>
                  </c:pt>
                  <c:pt idx="157">
                    <c:v>Salomonen</c:v>
                  </c:pt>
                  <c:pt idx="158">
                    <c:v>Sambia</c:v>
                  </c:pt>
                  <c:pt idx="159">
                    <c:v>Samoa</c:v>
                  </c:pt>
                  <c:pt idx="160">
                    <c:v>Sao Tome und Principe</c:v>
                  </c:pt>
                  <c:pt idx="161">
                    <c:v>Saudi0Arabien</c:v>
                  </c:pt>
                  <c:pt idx="162">
                    <c:v>Schweden</c:v>
                  </c:pt>
                  <c:pt idx="163">
                    <c:v>Schweiz</c:v>
                  </c:pt>
                  <c:pt idx="164">
                    <c:v>Senegal</c:v>
                  </c:pt>
                  <c:pt idx="165">
                    <c:v>Serbien (einschl. Kosovo) (03.06.2006016.02.2008)</c:v>
                  </c:pt>
                  <c:pt idx="166">
                    <c:v>Seychellen</c:v>
                  </c:pt>
                  <c:pt idx="167">
                    <c:v>Sierra Leone</c:v>
                  </c:pt>
                  <c:pt idx="168">
                    <c:v>Simbabwe</c:v>
                  </c:pt>
                  <c:pt idx="169">
                    <c:v>Singapur</c:v>
                  </c:pt>
                  <c:pt idx="170">
                    <c:v>Slowakei</c:v>
                  </c:pt>
                  <c:pt idx="171">
                    <c:v>Slowenien</c:v>
                  </c:pt>
                  <c:pt idx="172">
                    <c:v>Somalia</c:v>
                  </c:pt>
                  <c:pt idx="173">
                    <c:v>Spanien, Balearen</c:v>
                  </c:pt>
                  <c:pt idx="174">
                    <c:v>Spanien, Festland</c:v>
                  </c:pt>
                  <c:pt idx="175">
                    <c:v>Spanien, Kanaren</c:v>
                  </c:pt>
                  <c:pt idx="176">
                    <c:v>Sri Lanka</c:v>
                  </c:pt>
                  <c:pt idx="177">
                    <c:v>St. Kitts und Nevis</c:v>
                  </c:pt>
                  <c:pt idx="178">
                    <c:v>St. Lucia</c:v>
                  </c:pt>
                  <c:pt idx="179">
                    <c:v>St. Pierre und Miquelon</c:v>
                  </c:pt>
                  <c:pt idx="180">
                    <c:v>St. Vincent und die Grenadinen</c:v>
                  </c:pt>
                  <c:pt idx="181">
                    <c:v>Sudan (einschließlich Südsudan) (bis 08.07.2011)</c:v>
                  </c:pt>
                  <c:pt idx="182">
                    <c:v>Südafrika</c:v>
                  </c:pt>
                  <c:pt idx="183">
                    <c:v>Suriname</c:v>
                  </c:pt>
                  <c:pt idx="184">
                    <c:v>Swasiland</c:v>
                  </c:pt>
                  <c:pt idx="185">
                    <c:v>Syrien</c:v>
                  </c:pt>
                  <c:pt idx="186">
                    <c:v>Tadschikistan</c:v>
                  </c:pt>
                  <c:pt idx="187">
                    <c:v>Taiwan</c:v>
                  </c:pt>
                  <c:pt idx="188">
                    <c:v>Tansania</c:v>
                  </c:pt>
                  <c:pt idx="189">
                    <c:v>Thailand</c:v>
                  </c:pt>
                  <c:pt idx="190">
                    <c:v>Timor0Leste</c:v>
                  </c:pt>
                  <c:pt idx="191">
                    <c:v>Togo</c:v>
                  </c:pt>
                  <c:pt idx="192">
                    <c:v>Tonga</c:v>
                  </c:pt>
                  <c:pt idx="193">
                    <c:v>Trinidad und Tobago</c:v>
                  </c:pt>
                  <c:pt idx="194">
                    <c:v>Tschad</c:v>
                  </c:pt>
                  <c:pt idx="195">
                    <c:v>Tschechische Republik</c:v>
                  </c:pt>
                  <c:pt idx="196">
                    <c:v>Türkei</c:v>
                  </c:pt>
                  <c:pt idx="197">
                    <c:v>Tunesien</c:v>
                  </c:pt>
                  <c:pt idx="198">
                    <c:v>Turkmenistan</c:v>
                  </c:pt>
                  <c:pt idx="199">
                    <c:v>Turks0 und Caicosinseln</c:v>
                  </c:pt>
                  <c:pt idx="200">
                    <c:v>Tuvalu</c:v>
                  </c:pt>
                  <c:pt idx="201">
                    <c:v>Uganda</c:v>
                  </c:pt>
                  <c:pt idx="202">
                    <c:v>Ukraine</c:v>
                  </c:pt>
                  <c:pt idx="203">
                    <c:v>Ungarn</c:v>
                  </c:pt>
                  <c:pt idx="204">
                    <c:v>Uruguay</c:v>
                  </c:pt>
                  <c:pt idx="205">
                    <c:v>Usbekistan</c:v>
                  </c:pt>
                  <c:pt idx="206">
                    <c:v>Vanuatu</c:v>
                  </c:pt>
                  <c:pt idx="207">
                    <c:v>Venezuela, Bolivarische Republik</c:v>
                  </c:pt>
                  <c:pt idx="208">
                    <c:v>Vereinigte Arabische Emirate</c:v>
                  </c:pt>
                  <c:pt idx="209">
                    <c:v>Vereinigte Staaten (Alaska)</c:v>
                  </c:pt>
                  <c:pt idx="210">
                    <c:v>Vereinigte Staaten (Hawaii)</c:v>
                  </c:pt>
                  <c:pt idx="211">
                    <c:v>Vereinigte Staaten (Mitte nördlich)</c:v>
                  </c:pt>
                  <c:pt idx="212">
                    <c:v>Vereinigte Staaten (Mitte südlich)</c:v>
                  </c:pt>
                  <c:pt idx="213">
                    <c:v>Vereinigte Staaten (Nord0Ost)</c:v>
                  </c:pt>
                  <c:pt idx="214">
                    <c:v>Vereinigte Staaten (Nord0West)</c:v>
                  </c:pt>
                  <c:pt idx="215">
                    <c:v>Vereinigte Staaten (Süd0Ost)</c:v>
                  </c:pt>
                  <c:pt idx="216">
                    <c:v>Vereinigte Staaten (Süd0West)</c:v>
                  </c:pt>
                  <c:pt idx="217">
                    <c:v>Vereinigtes Königreich</c:v>
                  </c:pt>
                  <c:pt idx="218">
                    <c:v>Vietnam</c:v>
                  </c:pt>
                  <c:pt idx="219">
                    <c:v>Weißrussland</c:v>
                  </c:pt>
                  <c:pt idx="220">
                    <c:v>Zentralafrikanische Republik</c:v>
                  </c:pt>
                  <c:pt idx="221">
                    <c:v>Zypern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F8-7261-4E6D-A02E-4246D74D2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0614528"/>
        <c:axId val="490626592"/>
      </c:scatterChart>
      <c:valAx>
        <c:axId val="490614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from Germany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626592"/>
        <c:crosses val="autoZero"/>
        <c:crossBetween val="midCat"/>
      </c:valAx>
      <c:valAx>
        <c:axId val="49062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Flights from SXF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614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Regression!$C$1</c:f>
              <c:strCache>
                <c:ptCount val="1"/>
                <c:pt idx="0">
                  <c:v>F0FRA Frankfurt/Main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E4BCA22-6343-4EAD-958C-55AE90AAED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BBB-445D-8351-264E6D557D6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07B5129-23E7-4EB8-8AF2-141F3EFC9A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BBB-445D-8351-264E6D557D6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1BAE81C-ACA0-4A77-800C-15DBB081FE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BBB-445D-8351-264E6D557D6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8076D06-25A9-43C6-BD30-C070C81655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BBB-445D-8351-264E6D557D6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9141FE4-90F1-47A9-8987-3E0CE1AFC9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BBB-445D-8351-264E6D557D6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B091CBB-CEEE-483E-B17E-0E9D4444C9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BBB-445D-8351-264E6D557D6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F6D06AF-C601-4726-8D3C-870E931830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BBB-445D-8351-264E6D557D6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310234A-15EC-4F71-A0CC-8FB81A156D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BBB-445D-8351-264E6D557D6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8826B6D-AD49-4B72-A5F5-D124F318E5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BBB-445D-8351-264E6D557D6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29EDF0D-7872-4DD4-B6BC-C3DCD5D43F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BBB-445D-8351-264E6D557D6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5D51950-90E8-418F-83FD-C7052BB62F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BBB-445D-8351-264E6D557D6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8DC4BC4-7606-4315-BF70-596873ACD6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BBB-445D-8351-264E6D557D6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644780D-EC66-4EC1-B58F-5C115F57D4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BBB-445D-8351-264E6D557D6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C2ACF41-C64B-407A-ADD4-9D5BE451D2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BBB-445D-8351-264E6D557D6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15ABE84-3B7E-4157-82B3-B7865DF502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BBB-445D-8351-264E6D557D65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BA37149-88A1-449B-96DC-BB183298DE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BBB-445D-8351-264E6D557D65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B700B7F-6827-422E-8758-706125C786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BBB-445D-8351-264E6D557D65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EE2692E-B00D-44FC-9FB0-A2B5102D23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BBB-445D-8351-264E6D557D65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9EF9E5E-2038-44CD-ABEB-95FF60E5A4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BBB-445D-8351-264E6D557D6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D25B1B9-669D-404E-B7DE-E02C6C47CF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BBB-445D-8351-264E6D557D6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A255282-94B6-4FBA-90D3-5AFA7E9189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BBB-445D-8351-264E6D557D65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001AA0A5-E775-4D85-93DE-6D1F3C8F16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BBB-445D-8351-264E6D557D65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C894BFB-18B0-4FBA-9D7D-22061A47DE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8BBB-445D-8351-264E6D557D65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A751D217-F61F-4077-A79D-8DBD0CA3E7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BBB-445D-8351-264E6D557D6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9EACC01B-C888-4246-8DF9-5B6D1A3614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BBB-445D-8351-264E6D557D65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F2D81D44-886F-4348-B3C4-84E717B8F4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BBB-445D-8351-264E6D557D65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86F74B9F-BDFA-4997-ACD7-C4B5346D8C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BBB-445D-8351-264E6D557D65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6CDDF03A-6737-4FB0-BAEF-9DC1E7EFBC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8BBB-445D-8351-264E6D557D65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EC9C71CB-C4E8-4D22-B585-9ED0F83075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8BBB-445D-8351-264E6D557D65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EA20259A-149F-4A7A-AC2E-7982180AB1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8BBB-445D-8351-264E6D557D65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4AEDBC7B-F88D-4A38-BA97-29DF0F0CF4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BBB-445D-8351-264E6D557D65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934C5D53-58BC-4F59-B836-895BC4C7F7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8BBB-445D-8351-264E6D557D65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2CCF7724-CDBA-4014-B5D1-A72CDB2D8C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8BBB-445D-8351-264E6D557D65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C0AED149-21FF-4AD0-A2BF-CEF4A25DD9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8BBB-445D-8351-264E6D557D65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A4BD30E4-DF23-488B-804D-AA1828B505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8BBB-445D-8351-264E6D557D65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FA834CF3-A4EA-4613-BF8C-A832210031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8BBB-445D-8351-264E6D557D65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2B99808D-9B6B-454E-B2D4-44A795E5E1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8BBB-445D-8351-264E6D557D65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3145927E-DD9D-4A3A-8B1B-8A35885832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8BBB-445D-8351-264E6D557D65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0B5FBF26-8726-421C-9B76-340F24A365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8BBB-445D-8351-264E6D557D65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7D78409A-8B90-48AA-92DF-AE61625BEE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8BBB-445D-8351-264E6D557D65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FE02DFDA-CA5A-40BA-94DC-01FF8D6054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8BBB-445D-8351-264E6D557D65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9416AA26-F125-4110-8173-2849FA5460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8BBB-445D-8351-264E6D557D65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35483619-5D18-4949-BA62-ABA65F12C3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8BBB-445D-8351-264E6D557D65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E64C1BE0-1C24-41DE-812A-7C826AFE79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8BBB-445D-8351-264E6D557D65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D18C2A00-4084-408C-8024-1FB94F0787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8BBB-445D-8351-264E6D557D65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244961CB-504A-45BB-B563-CB00BACF27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8BBB-445D-8351-264E6D557D65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9D9C45BE-F014-442B-BC77-94319057C9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8BBB-445D-8351-264E6D557D65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EC2D9D64-73B0-46AF-B195-D31C5A5B1A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8BBB-445D-8351-264E6D557D65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126DD5C6-6E31-4208-B9EC-2299EEEF3B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8BBB-445D-8351-264E6D557D65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2169009D-8004-4495-BE9A-46E20A99D3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8BBB-445D-8351-264E6D557D65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279C80E3-23FF-4CF2-BF6D-17A32863D2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8BBB-445D-8351-264E6D557D65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BBD82BBC-6703-4900-BA18-7F1E6EAF6D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8BBB-445D-8351-264E6D557D65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9D466B6C-2128-40B4-8CF2-BE416C54A1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8BBB-445D-8351-264E6D557D65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E140DEF1-70AD-4EB2-8AE3-DB61506CD1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8BBB-445D-8351-264E6D557D65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B15A2F99-10AA-4A76-8FBA-7E822FC692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8BBB-445D-8351-264E6D557D65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19B84C96-2852-4154-958B-D5E549821A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8BBB-445D-8351-264E6D557D65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F494FDAE-24B7-4863-82A0-F85DAEAF77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8BBB-445D-8351-264E6D557D65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A46D564F-A872-4FF3-890C-AA13DF7D89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8BBB-445D-8351-264E6D557D65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E9280DB6-3D4B-428C-B5C1-C487FFF8DF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8BBB-445D-8351-264E6D557D65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B00F93B2-D94A-4641-B5C5-E6224621D9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8BBB-445D-8351-264E6D557D65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C9B92363-7877-4DF9-B092-92A45EA0BC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8BBB-445D-8351-264E6D557D65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38D76E4E-6A80-4EAB-8461-43CAC3A522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8BBB-445D-8351-264E6D557D65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0FD577FC-5689-4A74-9083-599D366842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8BBB-445D-8351-264E6D557D65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9812619C-77E5-4664-A021-63CDFE1103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8BBB-445D-8351-264E6D557D65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881CDD3A-D418-4A96-9A52-627BC0B365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8BBB-445D-8351-264E6D557D65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8738525E-167F-454B-96AF-A2BD02EE6F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8BBB-445D-8351-264E6D557D65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6610E50F-0615-47F2-911B-2F064FD91D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8BBB-445D-8351-264E6D557D65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12C867A6-B7B9-42BD-B983-618F05CA6A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8BBB-445D-8351-264E6D557D65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A5BB3E33-8B21-4B2B-8FEC-5341C43513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8BBB-445D-8351-264E6D557D65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42D94703-4F2F-4CA1-BFC8-5A127F844B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8BBB-445D-8351-264E6D557D65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652E900F-928A-40EF-B14C-470DC56F44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8BBB-445D-8351-264E6D557D65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1593E7A2-F398-4B09-8BFA-4A926E100B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8BBB-445D-8351-264E6D557D65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F08D9208-B194-4884-AD23-56B5FBE3B7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8BBB-445D-8351-264E6D557D65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3F210B9B-D729-476B-B46A-22AD8B50A4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8BBB-445D-8351-264E6D557D65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00160597-B685-4C56-B906-D48BC3AA62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8BBB-445D-8351-264E6D557D65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F8CA2039-39AB-43FD-90F2-6DA7D8AF19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8BBB-445D-8351-264E6D557D65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A8A0BA3C-BFE1-4FE3-BF8D-3B155B1607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8BBB-445D-8351-264E6D557D65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3F16B3B6-07A7-443E-A165-53D6C2CABB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8BBB-445D-8351-264E6D557D65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37007938-4322-4674-B64C-AA8C4716AB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8BBB-445D-8351-264E6D557D65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6E7FFAC8-B9D0-4346-A09F-A7517472EA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8BBB-445D-8351-264E6D557D65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C28B1741-291E-4975-8F48-AC8450115B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8BBB-445D-8351-264E6D557D65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BA10A380-7810-4D50-B7E6-18ADBC5FCE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8BBB-445D-8351-264E6D557D65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7C85FC99-8F39-42C6-A543-63058E5728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8BBB-445D-8351-264E6D557D65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8E32D41F-C67B-4D43-ADC1-54EA6869BE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8BBB-445D-8351-264E6D557D65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98F4D09D-8710-454F-92DC-83A206499A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8BBB-445D-8351-264E6D557D65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2DE538F4-7976-4742-8CBF-D8CB4B4BF2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8BBB-445D-8351-264E6D557D65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BE42CDA3-BF94-4746-862E-8C5476C7CA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8BBB-445D-8351-264E6D557D65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270D4B3B-19C0-4BFA-8B9C-E841A23228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8BBB-445D-8351-264E6D557D65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4910FE00-FFA3-4177-95E5-8FD628CB00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8BBB-445D-8351-264E6D557D65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9D4A7E1A-FAB9-4598-83EB-03ECD11F9E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8BBB-445D-8351-264E6D557D65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13937B5F-A814-4B84-8D69-41FAC1402A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8BBB-445D-8351-264E6D557D65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09505ADA-CAFD-4A4C-936D-30B11DE93A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8BBB-445D-8351-264E6D557D65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D106164F-BBCC-41EC-8E2E-7B904ADAF6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8BBB-445D-8351-264E6D557D65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B6D123AF-2E47-4D64-A920-A480C58B0B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8BBB-445D-8351-264E6D557D65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790F0441-CC46-454B-BE1A-B8661A9E40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8BBB-445D-8351-264E6D557D65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C9B0A8AE-3336-420F-87B9-5053934980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8BBB-445D-8351-264E6D557D65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9B3CAC58-F591-4A3C-8816-6B4A567C10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8BBB-445D-8351-264E6D557D65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813DDC90-3E02-457A-9950-5232EDB050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8BBB-445D-8351-264E6D557D65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27A29BCD-FC5C-4033-97F6-19D579FE59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8BBB-445D-8351-264E6D557D65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3D3615A8-856C-4AB1-AB91-40D5F2851A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8BBB-445D-8351-264E6D557D65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05EB87C6-1221-455F-B49A-CD3F718BA0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8BBB-445D-8351-264E6D557D65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4ED5720A-A428-4ABA-BFCB-0E94E073CC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8BBB-445D-8351-264E6D557D65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C3655DDD-EE2E-42A3-B8EF-7139F31576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8BBB-445D-8351-264E6D557D65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0BB4468D-9C7B-42FD-A713-4907CB803F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8BBB-445D-8351-264E6D557D65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6FB3BB77-9613-47CC-B7C8-AD2001D17C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8BBB-445D-8351-264E6D557D65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4C08DE28-F5AA-4FE7-90BE-4B4DE73946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8BBB-445D-8351-264E6D557D65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C89DDC67-0D31-4AF1-ADE5-82AC8EECE7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8BBB-445D-8351-264E6D557D65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70B79E46-A714-4909-B909-EE919D2902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8BBB-445D-8351-264E6D557D65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C665F7DB-ADBB-42AF-90CA-AF971D87AE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8BBB-445D-8351-264E6D557D65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D01B591D-4911-4D5F-8657-80B05D200D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8BBB-445D-8351-264E6D557D65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6B27BC83-DA5B-41B6-B181-EDB98CB1EB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8BBB-445D-8351-264E6D557D65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84655563-92A7-4922-8EEE-8884B7CF32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8BBB-445D-8351-264E6D557D65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32B73450-F396-4D1F-AFE0-DA30390913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8BBB-445D-8351-264E6D557D65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00DCEBF2-5296-49CC-A97C-94EDA849F5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8BBB-445D-8351-264E6D557D65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B3D7443D-8480-4A53-97CA-3D13A386A6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8BBB-445D-8351-264E6D557D65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57A1152A-78C9-4A06-BF9A-D1DB44F2E0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8BBB-445D-8351-264E6D557D65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04E581AA-7637-4412-8AE5-495CE0DCB2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8BBB-445D-8351-264E6D557D65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A1056023-CD5B-4796-9281-C31ED1A454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8BBB-445D-8351-264E6D557D65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379E0E0E-2908-495E-AF46-5653539B54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8BBB-445D-8351-264E6D557D65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006A6878-62E9-49A0-8947-E8993CE753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8BBB-445D-8351-264E6D557D65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CC19A93B-D7D6-4ED7-9366-F10EABE50A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8BBB-445D-8351-264E6D557D65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217C80CD-CF7B-48EC-8BDD-C1868EDEC0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8BBB-445D-8351-264E6D557D65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9771C6B2-E4DF-44A7-840A-363966870E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8BBB-445D-8351-264E6D557D65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B57631ED-D0D4-47AD-9006-6E483D456C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8BBB-445D-8351-264E6D557D65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F4EBF9EA-08A1-48C4-98F8-9E9AA24C39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8BBB-445D-8351-264E6D557D65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DC3BA65B-574B-4049-A927-76D58732D9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8BBB-445D-8351-264E6D557D65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8BC07817-970C-46D5-AD89-A49563A36E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8BBB-445D-8351-264E6D557D65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D44254FC-F673-4C57-A7EA-A2CBB70268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8BBB-445D-8351-264E6D557D65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F9E8B4DD-FB49-46CE-9A81-ACFFF244F4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8BBB-445D-8351-264E6D557D65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ED2DC492-1DF5-4896-BB4B-47B735DB62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8BBB-445D-8351-264E6D557D65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05773A2E-CCC8-4F94-BCDD-11E9CECE0A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8BBB-445D-8351-264E6D557D65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D3E0F502-A8E6-42FA-998B-078BA2274D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8BBB-445D-8351-264E6D557D65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3AFF0B4F-5F7D-4720-8722-AE11426E74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8BBB-445D-8351-264E6D557D65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29A91AA9-5BA4-4B0B-80FE-8C77B1A319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8BBB-445D-8351-264E6D557D65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8D3760D7-9BB3-4D95-AD47-1CE86F2943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8BBB-445D-8351-264E6D557D65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64916081-3A96-41ED-844A-F97AC58DBC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8BBB-445D-8351-264E6D557D65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4B1FC442-FE9E-40D4-9D21-ADE2B92257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8BBB-445D-8351-264E6D557D65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CBEBB625-10A8-4998-A37D-493E7EDEE5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8BBB-445D-8351-264E6D557D65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A71E3952-49E1-4A63-974F-E15B31A625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8BBB-445D-8351-264E6D557D65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644AECF3-0EB1-4B1A-BD80-93E139D0C7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8BBB-445D-8351-264E6D557D65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59D07ED1-0717-43CC-BEDD-962984E6AE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8BBB-445D-8351-264E6D557D65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3D916123-69AF-4D6F-80D5-617CD05F7D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8BBB-445D-8351-264E6D557D65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2AB44B33-FF13-442F-9878-96D644210C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8BBB-445D-8351-264E6D557D65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480C153E-3B7E-407D-AED1-ACCCFD8C6D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8BBB-445D-8351-264E6D557D65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AE49BA41-B015-4183-9A7A-470D039855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8BBB-445D-8351-264E6D557D65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90E1511A-C1B9-48E9-B5F9-D80EA86F51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8BBB-445D-8351-264E6D557D65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F81A321B-08F5-4A66-90EC-9E110996B6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8BBB-445D-8351-264E6D557D65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F3306944-08D5-4E2A-93F5-8E8B958815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8BBB-445D-8351-264E6D557D65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4EE101A9-3453-458C-8757-25D3019ACA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8BBB-445D-8351-264E6D557D65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C7307D3F-188D-4354-B61E-297AFC35D7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8BBB-445D-8351-264E6D557D65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359A0A21-FA3F-41B3-9F7B-22AE191B06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8BBB-445D-8351-264E6D557D65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308005BF-ACF6-4D98-B9F5-78D2BA6AAD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8BBB-445D-8351-264E6D557D65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88934FE9-3B54-4D42-BB1D-1FAD92C3E9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8BBB-445D-8351-264E6D557D65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3D98A597-ECD4-49B4-9791-0BC0C331C4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8BBB-445D-8351-264E6D557D65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5561409B-964D-4EE3-9421-33899C32D4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8BBB-445D-8351-264E6D557D65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9729D3FE-A63A-4E6F-BAC3-F2E9C7E8A1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8BBB-445D-8351-264E6D557D65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0A37AD6C-86D4-450B-9FEC-04276EE32E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8BBB-445D-8351-264E6D557D65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D9F2EC18-FEFD-4A54-AE22-937D4C6AC0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8BBB-445D-8351-264E6D557D65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EFCB000C-4F51-48B6-AF42-590CC7262A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8BBB-445D-8351-264E6D557D65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9F05AB66-5265-4766-96D4-34466D74A3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8BBB-445D-8351-264E6D557D65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CAC0EFF2-8EFA-42CE-8A58-70BE59EEC8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8BBB-445D-8351-264E6D557D65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FDA228DD-4B48-4B7C-8417-41FF7177A6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8BBB-445D-8351-264E6D557D65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2CC43959-8D10-4D93-9E10-F18FCC4395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8BBB-445D-8351-264E6D557D65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53B79B67-72AF-459B-8374-9F9613B339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8BBB-445D-8351-264E6D557D65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FEE4A4FC-9A33-435B-8230-30A89DD68C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8BBB-445D-8351-264E6D557D65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E29B2C38-7AFD-4146-84C9-0B423F644C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8BBB-445D-8351-264E6D557D65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90813927-8398-4AA3-83DC-7362A8B886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8BBB-445D-8351-264E6D557D65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DB9CA9DE-4C70-4F7E-9138-BC15F101EE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8BBB-445D-8351-264E6D557D65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170AAFAF-2212-48ED-800C-899E611738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8BBB-445D-8351-264E6D557D65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149D300D-574F-4F24-9131-096F099E9C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8BBB-445D-8351-264E6D557D65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CCEDC502-E3B7-47BD-9775-539182CF80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8BBB-445D-8351-264E6D557D65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08C6FB54-67C4-4309-858F-0ADFFA48AE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8BBB-445D-8351-264E6D557D65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0F9E924E-188A-469C-A1A7-E6CCFC3D48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8BBB-445D-8351-264E6D557D65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2F706D07-DDD2-460E-BF18-7D36871AD0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8BBB-445D-8351-264E6D557D65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4466641B-9B85-4D15-B4BE-2903D46B93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8BBB-445D-8351-264E6D557D65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CC2AFE49-6F1C-4862-9F05-2D4D69BC28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8BBB-445D-8351-264E6D557D65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52C2643C-4436-4AD9-BF6D-55912D8007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8BBB-445D-8351-264E6D557D65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E0E74987-0C43-492A-87E3-9D972E70D4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8BBB-445D-8351-264E6D557D65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A1644616-0985-4F6A-9AB1-2C2AD96F28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8BBB-445D-8351-264E6D557D65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0F18F003-AA58-471A-9CB1-8DBACA4472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8BBB-445D-8351-264E6D557D65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9A3A67C5-C5C6-4EB2-ADF0-74D6D57B27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8BBB-445D-8351-264E6D557D65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08CC61A5-3744-4487-8CB9-60B8C91271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8BBB-445D-8351-264E6D557D65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7522AB5C-AF70-4CDE-AB58-F7CE7753C5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8BBB-445D-8351-264E6D557D65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158642CB-F6CB-465F-B6C0-DDA1D01D58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8BBB-445D-8351-264E6D557D65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A606ACCF-D97F-4319-8947-7A4CA3A0AC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8BBB-445D-8351-264E6D557D65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C2E9DB2C-AD2C-435F-ACF4-4CECB0BD6C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8BBB-445D-8351-264E6D557D65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511DCD2B-D157-41CB-85A6-B3D8E7CF45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8BBB-445D-8351-264E6D557D65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4F6D2D65-923D-476B-860E-A60FD664F4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8BBB-445D-8351-264E6D557D65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80289831-CAE7-40B9-8746-A1A1FA946F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8BBB-445D-8351-264E6D557D65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FCE104C9-FFAF-41B2-83C7-45FB4EF5B2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8BBB-445D-8351-264E6D557D65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26F070D1-5CAA-41A6-9B46-256CD5492F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8BBB-445D-8351-264E6D557D65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1B30828A-5A0B-4C6F-B747-3011B6DECA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8BBB-445D-8351-264E6D557D65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A28DABDB-3B6B-4129-9EEA-45B1355346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8BBB-445D-8351-264E6D557D65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602B487F-E408-4C3B-A0AD-ABD064E3D3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8BBB-445D-8351-264E6D557D65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240B5BE2-DA93-4C30-9DA4-0B8A535467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8BBB-445D-8351-264E6D557D65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fld id="{E714AE23-2C17-4C72-A919-5AE2957E1D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8BBB-445D-8351-264E6D557D65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fld id="{D6B7AA4F-6998-494A-8B96-590147BE35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8BBB-445D-8351-264E6D557D65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fld id="{FE6C3867-57BC-4694-955F-929E831753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8BBB-445D-8351-264E6D557D65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fld id="{4D3C1DDB-E727-4807-9D28-5009B368CD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8BBB-445D-8351-264E6D557D65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fld id="{345A95DE-ECFF-4987-A7E6-A8EF02B6AD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8BBB-445D-8351-264E6D557D65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fld id="{733821B7-0BBB-4269-8A5A-20DD5BCB22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8BBB-445D-8351-264E6D557D65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fld id="{B32A4ED8-F3BD-4DC6-B9E4-07F7E86B77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8BBB-445D-8351-264E6D557D65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fld id="{EC7A3417-1C99-49BB-AC00-5DEE713C84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8BBB-445D-8351-264E6D557D65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fld id="{3D617AA8-B4B3-4AFF-96EE-E0235B12AD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8BBB-445D-8351-264E6D557D65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fld id="{68F88979-4BB0-4866-BFB6-A7EF67F4A4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8BBB-445D-8351-264E6D557D65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fld id="{75B23CFF-0CCC-46A4-8C5F-93E9A79BDF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8BBB-445D-8351-264E6D557D65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fld id="{3F585B59-C575-4E43-9670-D528180778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8BBB-445D-8351-264E6D557D65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fld id="{A5EE1175-0433-453C-A0E1-37DD323F85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8BBB-445D-8351-264E6D557D65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fld id="{6019A2D6-3361-45A6-B89B-25AE6C17D0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8BBB-445D-8351-264E6D557D65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fld id="{7A5406AE-0859-4D66-BAA5-B071F936AD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8BBB-445D-8351-264E6D557D65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fld id="{1A2DD49B-9ECF-4446-8BB3-398FB40692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8BBB-445D-8351-264E6D557D65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fld id="{2E787182-F868-4721-90BB-816B3EC7FE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8BBB-445D-8351-264E6D557D65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fld id="{D939A375-059F-451E-AF7E-46553C1BDD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8BBB-445D-8351-264E6D557D65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fld id="{9F62CB8D-81DD-4CE4-8DE4-264819D678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8BBB-445D-8351-264E6D557D65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fld id="{73884BC3-89BD-4AC4-A0B7-A04B946A4C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8BBB-445D-8351-264E6D557D65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fld id="{ADD6E6B2-69C1-43E1-AE38-72225021AC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8BBB-445D-8351-264E6D557D65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fld id="{66A03AFF-0DE9-4E14-B7CD-3B6675BEA6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8BBB-445D-8351-264E6D557D65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fld id="{48D28A5F-BC98-4516-8200-DD925CEA71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8BBB-445D-8351-264E6D557D65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fld id="{17CD5595-E0AF-4E0C-862A-68FCDF0327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8BBB-445D-8351-264E6D557D65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fld id="{2226C7DD-16E8-412B-9EDA-7D3F90A497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8BBB-445D-8351-264E6D557D65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fld id="{86E8F8E8-B7D4-4CFF-89F1-2849EDC449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8BBB-445D-8351-264E6D557D65}"/>
                </c:ext>
              </c:extLst>
            </c:dLbl>
            <c:spPr>
              <a:solidFill>
                <a:sysClr val="windowText" lastClr="000000">
                  <a:lumMod val="65000"/>
                  <a:lumOff val="3500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15000"/>
                        <a:lumOff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og"/>
            <c:dispRSqr val="0"/>
            <c:dispEq val="1"/>
            <c:trendlineLbl>
              <c:layout>
                <c:manualLayout>
                  <c:x val="-7.3814304461942259E-2"/>
                  <c:y val="-7.01432633420822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25906384356110973"/>
                  <c:y val="-6.264686083140411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Regression!$B$2:$B$223</c:f>
              <c:numCache>
                <c:formatCode>General</c:formatCode>
                <c:ptCount val="221"/>
                <c:pt idx="0">
                  <c:v>5794</c:v>
                </c:pt>
                <c:pt idx="1">
                  <c:v>1</c:v>
                </c:pt>
                <c:pt idx="2">
                  <c:v>366</c:v>
                </c:pt>
                <c:pt idx="3">
                  <c:v>149</c:v>
                </c:pt>
                <c:pt idx="4">
                  <c:v>848</c:v>
                </c:pt>
                <c:pt idx="5">
                  <c:v>603</c:v>
                </c:pt>
                <c:pt idx="6">
                  <c:v>0</c:v>
                </c:pt>
                <c:pt idx="7">
                  <c:v>157</c:v>
                </c:pt>
                <c:pt idx="8">
                  <c:v>0</c:v>
                </c:pt>
                <c:pt idx="9">
                  <c:v>22</c:v>
                </c:pt>
                <c:pt idx="10">
                  <c:v>343</c:v>
                </c:pt>
                <c:pt idx="11">
                  <c:v>15</c:v>
                </c:pt>
                <c:pt idx="12">
                  <c:v>658</c:v>
                </c:pt>
                <c:pt idx="13">
                  <c:v>1</c:v>
                </c:pt>
                <c:pt idx="14">
                  <c:v>1</c:v>
                </c:pt>
                <c:pt idx="15">
                  <c:v>761</c:v>
                </c:pt>
                <c:pt idx="16">
                  <c:v>0</c:v>
                </c:pt>
                <c:pt idx="17">
                  <c:v>71</c:v>
                </c:pt>
                <c:pt idx="18">
                  <c:v>13997</c:v>
                </c:pt>
                <c:pt idx="19">
                  <c:v>0</c:v>
                </c:pt>
                <c:pt idx="20">
                  <c:v>4</c:v>
                </c:pt>
                <c:pt idx="21">
                  <c:v>2</c:v>
                </c:pt>
                <c:pt idx="22">
                  <c:v>0</c:v>
                </c:pt>
                <c:pt idx="23">
                  <c:v>0</c:v>
                </c:pt>
                <c:pt idx="24">
                  <c:v>943</c:v>
                </c:pt>
                <c:pt idx="25">
                  <c:v>0</c:v>
                </c:pt>
                <c:pt idx="26">
                  <c:v>1699</c:v>
                </c:pt>
                <c:pt idx="27">
                  <c:v>0</c:v>
                </c:pt>
                <c:pt idx="28">
                  <c:v>0</c:v>
                </c:pt>
                <c:pt idx="29">
                  <c:v>7005</c:v>
                </c:pt>
                <c:pt idx="30">
                  <c:v>5</c:v>
                </c:pt>
                <c:pt idx="31">
                  <c:v>0</c:v>
                </c:pt>
                <c:pt idx="32">
                  <c:v>240</c:v>
                </c:pt>
                <c:pt idx="33">
                  <c:v>0</c:v>
                </c:pt>
                <c:pt idx="34">
                  <c:v>6977</c:v>
                </c:pt>
                <c:pt idx="35">
                  <c:v>0</c:v>
                </c:pt>
                <c:pt idx="36">
                  <c:v>1</c:v>
                </c:pt>
                <c:pt idx="37">
                  <c:v>18994</c:v>
                </c:pt>
                <c:pt idx="38">
                  <c:v>0</c:v>
                </c:pt>
                <c:pt idx="39">
                  <c:v>1375</c:v>
                </c:pt>
                <c:pt idx="40">
                  <c:v>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2013</c:v>
                </c:pt>
                <c:pt idx="45">
                  <c:v>3</c:v>
                </c:pt>
                <c:pt idx="46">
                  <c:v>0</c:v>
                </c:pt>
                <c:pt idx="47">
                  <c:v>0</c:v>
                </c:pt>
                <c:pt idx="48">
                  <c:v>7384</c:v>
                </c:pt>
                <c:pt idx="49">
                  <c:v>44535</c:v>
                </c:pt>
                <c:pt idx="50">
                  <c:v>0</c:v>
                </c:pt>
                <c:pt idx="51">
                  <c:v>1</c:v>
                </c:pt>
                <c:pt idx="52">
                  <c:v>24</c:v>
                </c:pt>
                <c:pt idx="53">
                  <c:v>1</c:v>
                </c:pt>
                <c:pt idx="54">
                  <c:v>445</c:v>
                </c:pt>
                <c:pt idx="55">
                  <c:v>4</c:v>
                </c:pt>
                <c:pt idx="56">
                  <c:v>4</c:v>
                </c:pt>
                <c:pt idx="57">
                  <c:v>23</c:v>
                </c:pt>
                <c:pt idx="58">
                  <c:v>10202</c:v>
                </c:pt>
                <c:pt idx="59">
                  <c:v>9743</c:v>
                </c:pt>
                <c:pt idx="60">
                  <c:v>7</c:v>
                </c:pt>
                <c:pt idx="61">
                  <c:v>3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2</c:v>
                </c:pt>
                <c:pt idx="68">
                  <c:v>0</c:v>
                </c:pt>
                <c:pt idx="69">
                  <c:v>1836</c:v>
                </c:pt>
                <c:pt idx="70">
                  <c:v>3323</c:v>
                </c:pt>
                <c:pt idx="71">
                  <c:v>1</c:v>
                </c:pt>
                <c:pt idx="72">
                  <c:v>612</c:v>
                </c:pt>
                <c:pt idx="73">
                  <c:v>1111</c:v>
                </c:pt>
                <c:pt idx="74">
                  <c:v>7196</c:v>
                </c:pt>
                <c:pt idx="75">
                  <c:v>2245</c:v>
                </c:pt>
                <c:pt idx="76">
                  <c:v>4573</c:v>
                </c:pt>
                <c:pt idx="77">
                  <c:v>67681</c:v>
                </c:pt>
                <c:pt idx="78">
                  <c:v>155</c:v>
                </c:pt>
                <c:pt idx="79">
                  <c:v>3378</c:v>
                </c:pt>
                <c:pt idx="80">
                  <c:v>0</c:v>
                </c:pt>
                <c:pt idx="81">
                  <c:v>983</c:v>
                </c:pt>
                <c:pt idx="82">
                  <c:v>0</c:v>
                </c:pt>
                <c:pt idx="83">
                  <c:v>1</c:v>
                </c:pt>
                <c:pt idx="84">
                  <c:v>7</c:v>
                </c:pt>
                <c:pt idx="85">
                  <c:v>3990</c:v>
                </c:pt>
                <c:pt idx="86">
                  <c:v>938</c:v>
                </c:pt>
                <c:pt idx="87">
                  <c:v>2256</c:v>
                </c:pt>
                <c:pt idx="88">
                  <c:v>424</c:v>
                </c:pt>
                <c:pt idx="89">
                  <c:v>2</c:v>
                </c:pt>
                <c:pt idx="90">
                  <c:v>0</c:v>
                </c:pt>
                <c:pt idx="91">
                  <c:v>342</c:v>
                </c:pt>
                <c:pt idx="92">
                  <c:v>0</c:v>
                </c:pt>
                <c:pt idx="93">
                  <c:v>5</c:v>
                </c:pt>
                <c:pt idx="94">
                  <c:v>1</c:v>
                </c:pt>
                <c:pt idx="95">
                  <c:v>0</c:v>
                </c:pt>
                <c:pt idx="96">
                  <c:v>2272</c:v>
                </c:pt>
                <c:pt idx="97">
                  <c:v>2009</c:v>
                </c:pt>
                <c:pt idx="98">
                  <c:v>8276</c:v>
                </c:pt>
                <c:pt idx="99">
                  <c:v>940</c:v>
                </c:pt>
                <c:pt idx="100">
                  <c:v>853</c:v>
                </c:pt>
                <c:pt idx="101">
                  <c:v>0</c:v>
                </c:pt>
                <c:pt idx="102">
                  <c:v>0</c:v>
                </c:pt>
                <c:pt idx="103">
                  <c:v>3944</c:v>
                </c:pt>
                <c:pt idx="104">
                  <c:v>1327</c:v>
                </c:pt>
                <c:pt idx="105">
                  <c:v>0</c:v>
                </c:pt>
                <c:pt idx="106">
                  <c:v>15</c:v>
                </c:pt>
                <c:pt idx="107">
                  <c:v>1896</c:v>
                </c:pt>
                <c:pt idx="108">
                  <c:v>5341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41</c:v>
                </c:pt>
                <c:pt idx="113">
                  <c:v>154</c:v>
                </c:pt>
                <c:pt idx="114">
                  <c:v>70</c:v>
                </c:pt>
                <c:pt idx="115">
                  <c:v>2340</c:v>
                </c:pt>
                <c:pt idx="116">
                  <c:v>0</c:v>
                </c:pt>
                <c:pt idx="117">
                  <c:v>2998</c:v>
                </c:pt>
                <c:pt idx="118">
                  <c:v>27</c:v>
                </c:pt>
                <c:pt idx="119">
                  <c:v>0</c:v>
                </c:pt>
                <c:pt idx="120">
                  <c:v>295</c:v>
                </c:pt>
                <c:pt idx="121">
                  <c:v>1047</c:v>
                </c:pt>
                <c:pt idx="122">
                  <c:v>1319</c:v>
                </c:pt>
                <c:pt idx="123">
                  <c:v>612</c:v>
                </c:pt>
                <c:pt idx="124">
                  <c:v>0</c:v>
                </c:pt>
                <c:pt idx="125">
                  <c:v>21</c:v>
                </c:pt>
                <c:pt idx="126">
                  <c:v>329</c:v>
                </c:pt>
                <c:pt idx="127">
                  <c:v>0</c:v>
                </c:pt>
                <c:pt idx="128">
                  <c:v>0</c:v>
                </c:pt>
                <c:pt idx="129">
                  <c:v>454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83</c:v>
                </c:pt>
                <c:pt idx="135">
                  <c:v>24186</c:v>
                </c:pt>
                <c:pt idx="136">
                  <c:v>2</c:v>
                </c:pt>
                <c:pt idx="137">
                  <c:v>693</c:v>
                </c:pt>
                <c:pt idx="138">
                  <c:v>6425</c:v>
                </c:pt>
                <c:pt idx="139">
                  <c:v>36669</c:v>
                </c:pt>
                <c:pt idx="140">
                  <c:v>757</c:v>
                </c:pt>
                <c:pt idx="141">
                  <c:v>5</c:v>
                </c:pt>
                <c:pt idx="142">
                  <c:v>0</c:v>
                </c:pt>
                <c:pt idx="143">
                  <c:v>216</c:v>
                </c:pt>
                <c:pt idx="144">
                  <c:v>0</c:v>
                </c:pt>
                <c:pt idx="145">
                  <c:v>3</c:v>
                </c:pt>
                <c:pt idx="146">
                  <c:v>0</c:v>
                </c:pt>
                <c:pt idx="147">
                  <c:v>0</c:v>
                </c:pt>
                <c:pt idx="148">
                  <c:v>25045</c:v>
                </c:pt>
                <c:pt idx="149">
                  <c:v>14574</c:v>
                </c:pt>
                <c:pt idx="150">
                  <c:v>45</c:v>
                </c:pt>
                <c:pt idx="151">
                  <c:v>0</c:v>
                </c:pt>
                <c:pt idx="152">
                  <c:v>1</c:v>
                </c:pt>
                <c:pt idx="153">
                  <c:v>10736</c:v>
                </c:pt>
                <c:pt idx="154">
                  <c:v>191</c:v>
                </c:pt>
                <c:pt idx="155">
                  <c:v>16726</c:v>
                </c:pt>
                <c:pt idx="156">
                  <c:v>0</c:v>
                </c:pt>
                <c:pt idx="157">
                  <c:v>1</c:v>
                </c:pt>
                <c:pt idx="158">
                  <c:v>0</c:v>
                </c:pt>
                <c:pt idx="159">
                  <c:v>0</c:v>
                </c:pt>
                <c:pt idx="160">
                  <c:v>2180</c:v>
                </c:pt>
                <c:pt idx="161">
                  <c:v>17090</c:v>
                </c:pt>
                <c:pt idx="162">
                  <c:v>40509</c:v>
                </c:pt>
                <c:pt idx="163">
                  <c:v>272</c:v>
                </c:pt>
                <c:pt idx="164">
                  <c:v>3721</c:v>
                </c:pt>
                <c:pt idx="165">
                  <c:v>69</c:v>
                </c:pt>
                <c:pt idx="166">
                  <c:v>6</c:v>
                </c:pt>
                <c:pt idx="167">
                  <c:v>0</c:v>
                </c:pt>
                <c:pt idx="168">
                  <c:v>1526</c:v>
                </c:pt>
                <c:pt idx="169">
                  <c:v>792</c:v>
                </c:pt>
                <c:pt idx="170">
                  <c:v>2342</c:v>
                </c:pt>
                <c:pt idx="171">
                  <c:v>0</c:v>
                </c:pt>
                <c:pt idx="172">
                  <c:v>30788</c:v>
                </c:pt>
                <c:pt idx="173">
                  <c:v>39920</c:v>
                </c:pt>
                <c:pt idx="174">
                  <c:v>18143</c:v>
                </c:pt>
                <c:pt idx="175">
                  <c:v>191</c:v>
                </c:pt>
                <c:pt idx="176">
                  <c:v>0</c:v>
                </c:pt>
                <c:pt idx="177">
                  <c:v>9</c:v>
                </c:pt>
                <c:pt idx="178">
                  <c:v>2</c:v>
                </c:pt>
                <c:pt idx="179">
                  <c:v>0</c:v>
                </c:pt>
                <c:pt idx="180">
                  <c:v>1</c:v>
                </c:pt>
                <c:pt idx="181">
                  <c:v>1381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53</c:v>
                </c:pt>
                <c:pt idx="186">
                  <c:v>365</c:v>
                </c:pt>
                <c:pt idx="187">
                  <c:v>82</c:v>
                </c:pt>
                <c:pt idx="188">
                  <c:v>1999</c:v>
                </c:pt>
                <c:pt idx="189">
                  <c:v>0</c:v>
                </c:pt>
                <c:pt idx="190">
                  <c:v>1</c:v>
                </c:pt>
                <c:pt idx="191">
                  <c:v>0</c:v>
                </c:pt>
                <c:pt idx="192">
                  <c:v>56</c:v>
                </c:pt>
                <c:pt idx="193">
                  <c:v>0</c:v>
                </c:pt>
                <c:pt idx="194">
                  <c:v>8451</c:v>
                </c:pt>
                <c:pt idx="195">
                  <c:v>46434</c:v>
                </c:pt>
                <c:pt idx="196">
                  <c:v>2259</c:v>
                </c:pt>
                <c:pt idx="197">
                  <c:v>90</c:v>
                </c:pt>
                <c:pt idx="198">
                  <c:v>0</c:v>
                </c:pt>
                <c:pt idx="199">
                  <c:v>0</c:v>
                </c:pt>
                <c:pt idx="200">
                  <c:v>4</c:v>
                </c:pt>
                <c:pt idx="201">
                  <c:v>3683</c:v>
                </c:pt>
                <c:pt idx="202">
                  <c:v>7762</c:v>
                </c:pt>
                <c:pt idx="203">
                  <c:v>0</c:v>
                </c:pt>
                <c:pt idx="204">
                  <c:v>284</c:v>
                </c:pt>
                <c:pt idx="205">
                  <c:v>0</c:v>
                </c:pt>
                <c:pt idx="206">
                  <c:v>74</c:v>
                </c:pt>
                <c:pt idx="207">
                  <c:v>8655</c:v>
                </c:pt>
                <c:pt idx="208">
                  <c:v>64</c:v>
                </c:pt>
                <c:pt idx="209">
                  <c:v>0</c:v>
                </c:pt>
                <c:pt idx="210">
                  <c:v>3154</c:v>
                </c:pt>
                <c:pt idx="211">
                  <c:v>1831</c:v>
                </c:pt>
                <c:pt idx="212">
                  <c:v>11303</c:v>
                </c:pt>
                <c:pt idx="213">
                  <c:v>584</c:v>
                </c:pt>
                <c:pt idx="214">
                  <c:v>5324</c:v>
                </c:pt>
                <c:pt idx="215">
                  <c:v>3247</c:v>
                </c:pt>
                <c:pt idx="216">
                  <c:v>71731</c:v>
                </c:pt>
                <c:pt idx="217">
                  <c:v>412</c:v>
                </c:pt>
                <c:pt idx="218">
                  <c:v>1078</c:v>
                </c:pt>
                <c:pt idx="219">
                  <c:v>0</c:v>
                </c:pt>
                <c:pt idx="220">
                  <c:v>945</c:v>
                </c:pt>
              </c:numCache>
            </c:numRef>
          </c:xVal>
          <c:yVal>
            <c:numRef>
              <c:f>Regression!$C$2:$C$223</c:f>
              <c:numCache>
                <c:formatCode>General</c:formatCode>
                <c:ptCount val="221"/>
                <c:pt idx="0">
                  <c:v>1608</c:v>
                </c:pt>
                <c:pt idx="1">
                  <c:v>0</c:v>
                </c:pt>
                <c:pt idx="2">
                  <c:v>366</c:v>
                </c:pt>
                <c:pt idx="3">
                  <c:v>1</c:v>
                </c:pt>
                <c:pt idx="4">
                  <c:v>465</c:v>
                </c:pt>
                <c:pt idx="5">
                  <c:v>534</c:v>
                </c:pt>
                <c:pt idx="6">
                  <c:v>0</c:v>
                </c:pt>
                <c:pt idx="7">
                  <c:v>157</c:v>
                </c:pt>
                <c:pt idx="8">
                  <c:v>0</c:v>
                </c:pt>
                <c:pt idx="9">
                  <c:v>22</c:v>
                </c:pt>
                <c:pt idx="10">
                  <c:v>343</c:v>
                </c:pt>
                <c:pt idx="11">
                  <c:v>2</c:v>
                </c:pt>
                <c:pt idx="12">
                  <c:v>269</c:v>
                </c:pt>
                <c:pt idx="13">
                  <c:v>0</c:v>
                </c:pt>
                <c:pt idx="14">
                  <c:v>1</c:v>
                </c:pt>
                <c:pt idx="15">
                  <c:v>366</c:v>
                </c:pt>
                <c:pt idx="16">
                  <c:v>0</c:v>
                </c:pt>
                <c:pt idx="17">
                  <c:v>20</c:v>
                </c:pt>
                <c:pt idx="18">
                  <c:v>2739</c:v>
                </c:pt>
                <c:pt idx="19">
                  <c:v>0</c:v>
                </c:pt>
                <c:pt idx="20">
                  <c:v>4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2</c:v>
                </c:pt>
                <c:pt idx="25">
                  <c:v>0</c:v>
                </c:pt>
                <c:pt idx="26">
                  <c:v>1449</c:v>
                </c:pt>
                <c:pt idx="27">
                  <c:v>0</c:v>
                </c:pt>
                <c:pt idx="28">
                  <c:v>0</c:v>
                </c:pt>
                <c:pt idx="29">
                  <c:v>1352</c:v>
                </c:pt>
                <c:pt idx="30">
                  <c:v>3</c:v>
                </c:pt>
                <c:pt idx="31">
                  <c:v>0</c:v>
                </c:pt>
                <c:pt idx="32">
                  <c:v>34</c:v>
                </c:pt>
                <c:pt idx="33">
                  <c:v>0</c:v>
                </c:pt>
                <c:pt idx="34">
                  <c:v>4592</c:v>
                </c:pt>
                <c:pt idx="35">
                  <c:v>0</c:v>
                </c:pt>
                <c:pt idx="36">
                  <c:v>0</c:v>
                </c:pt>
                <c:pt idx="37">
                  <c:v>4446</c:v>
                </c:pt>
                <c:pt idx="38">
                  <c:v>0</c:v>
                </c:pt>
                <c:pt idx="39">
                  <c:v>553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927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1902</c:v>
                </c:pt>
                <c:pt idx="49">
                  <c:v>9401</c:v>
                </c:pt>
                <c:pt idx="50">
                  <c:v>0</c:v>
                </c:pt>
                <c:pt idx="51">
                  <c:v>0</c:v>
                </c:pt>
                <c:pt idx="52">
                  <c:v>23</c:v>
                </c:pt>
                <c:pt idx="53">
                  <c:v>0</c:v>
                </c:pt>
                <c:pt idx="54">
                  <c:v>7</c:v>
                </c:pt>
                <c:pt idx="55">
                  <c:v>3</c:v>
                </c:pt>
                <c:pt idx="56">
                  <c:v>0</c:v>
                </c:pt>
                <c:pt idx="57">
                  <c:v>23</c:v>
                </c:pt>
                <c:pt idx="58">
                  <c:v>1763</c:v>
                </c:pt>
                <c:pt idx="59">
                  <c:v>1100</c:v>
                </c:pt>
                <c:pt idx="60">
                  <c:v>1</c:v>
                </c:pt>
                <c:pt idx="61">
                  <c:v>3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2</c:v>
                </c:pt>
                <c:pt idx="68">
                  <c:v>0</c:v>
                </c:pt>
                <c:pt idx="69">
                  <c:v>753</c:v>
                </c:pt>
                <c:pt idx="70">
                  <c:v>2419</c:v>
                </c:pt>
                <c:pt idx="71">
                  <c:v>0</c:v>
                </c:pt>
                <c:pt idx="72">
                  <c:v>175</c:v>
                </c:pt>
                <c:pt idx="73">
                  <c:v>508</c:v>
                </c:pt>
                <c:pt idx="74">
                  <c:v>1754</c:v>
                </c:pt>
                <c:pt idx="75">
                  <c:v>682</c:v>
                </c:pt>
                <c:pt idx="76">
                  <c:v>1706</c:v>
                </c:pt>
                <c:pt idx="77">
                  <c:v>15575</c:v>
                </c:pt>
                <c:pt idx="78">
                  <c:v>103</c:v>
                </c:pt>
                <c:pt idx="79">
                  <c:v>2292</c:v>
                </c:pt>
                <c:pt idx="80">
                  <c:v>0</c:v>
                </c:pt>
                <c:pt idx="81">
                  <c:v>633</c:v>
                </c:pt>
                <c:pt idx="82">
                  <c:v>0</c:v>
                </c:pt>
                <c:pt idx="83">
                  <c:v>0</c:v>
                </c:pt>
                <c:pt idx="84">
                  <c:v>6</c:v>
                </c:pt>
                <c:pt idx="85">
                  <c:v>2844</c:v>
                </c:pt>
                <c:pt idx="86">
                  <c:v>884</c:v>
                </c:pt>
                <c:pt idx="87">
                  <c:v>1122</c:v>
                </c:pt>
                <c:pt idx="88">
                  <c:v>397</c:v>
                </c:pt>
                <c:pt idx="89">
                  <c:v>0</c:v>
                </c:pt>
                <c:pt idx="90">
                  <c:v>0</c:v>
                </c:pt>
                <c:pt idx="91">
                  <c:v>342</c:v>
                </c:pt>
                <c:pt idx="92">
                  <c:v>0</c:v>
                </c:pt>
                <c:pt idx="93">
                  <c:v>4</c:v>
                </c:pt>
                <c:pt idx="94">
                  <c:v>1</c:v>
                </c:pt>
                <c:pt idx="95">
                  <c:v>0</c:v>
                </c:pt>
                <c:pt idx="96">
                  <c:v>1705</c:v>
                </c:pt>
                <c:pt idx="97">
                  <c:v>352</c:v>
                </c:pt>
                <c:pt idx="98">
                  <c:v>2545</c:v>
                </c:pt>
                <c:pt idx="99">
                  <c:v>453</c:v>
                </c:pt>
                <c:pt idx="100">
                  <c:v>552</c:v>
                </c:pt>
                <c:pt idx="101">
                  <c:v>0</c:v>
                </c:pt>
                <c:pt idx="102">
                  <c:v>0</c:v>
                </c:pt>
                <c:pt idx="103">
                  <c:v>1032</c:v>
                </c:pt>
                <c:pt idx="104">
                  <c:v>883</c:v>
                </c:pt>
                <c:pt idx="105">
                  <c:v>0</c:v>
                </c:pt>
                <c:pt idx="106">
                  <c:v>0</c:v>
                </c:pt>
                <c:pt idx="107">
                  <c:v>713</c:v>
                </c:pt>
                <c:pt idx="108">
                  <c:v>1448</c:v>
                </c:pt>
                <c:pt idx="109">
                  <c:v>0</c:v>
                </c:pt>
                <c:pt idx="110">
                  <c:v>0</c:v>
                </c:pt>
                <c:pt idx="111">
                  <c:v>1</c:v>
                </c:pt>
                <c:pt idx="112">
                  <c:v>28</c:v>
                </c:pt>
                <c:pt idx="113">
                  <c:v>153</c:v>
                </c:pt>
                <c:pt idx="114">
                  <c:v>0</c:v>
                </c:pt>
                <c:pt idx="115">
                  <c:v>841</c:v>
                </c:pt>
                <c:pt idx="116">
                  <c:v>0</c:v>
                </c:pt>
                <c:pt idx="117">
                  <c:v>876</c:v>
                </c:pt>
                <c:pt idx="118">
                  <c:v>26</c:v>
                </c:pt>
                <c:pt idx="119">
                  <c:v>0</c:v>
                </c:pt>
                <c:pt idx="120">
                  <c:v>227</c:v>
                </c:pt>
                <c:pt idx="121">
                  <c:v>9</c:v>
                </c:pt>
                <c:pt idx="122">
                  <c:v>770</c:v>
                </c:pt>
                <c:pt idx="123">
                  <c:v>249</c:v>
                </c:pt>
                <c:pt idx="124">
                  <c:v>0</c:v>
                </c:pt>
                <c:pt idx="125">
                  <c:v>21</c:v>
                </c:pt>
                <c:pt idx="126">
                  <c:v>174</c:v>
                </c:pt>
                <c:pt idx="127">
                  <c:v>0</c:v>
                </c:pt>
                <c:pt idx="128">
                  <c:v>0</c:v>
                </c:pt>
                <c:pt idx="129">
                  <c:v>437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1</c:v>
                </c:pt>
                <c:pt idx="135">
                  <c:v>4192</c:v>
                </c:pt>
                <c:pt idx="136">
                  <c:v>1</c:v>
                </c:pt>
                <c:pt idx="137">
                  <c:v>689</c:v>
                </c:pt>
                <c:pt idx="138">
                  <c:v>1789</c:v>
                </c:pt>
                <c:pt idx="139">
                  <c:v>10184</c:v>
                </c:pt>
                <c:pt idx="140">
                  <c:v>352</c:v>
                </c:pt>
                <c:pt idx="141">
                  <c:v>1</c:v>
                </c:pt>
                <c:pt idx="142">
                  <c:v>0</c:v>
                </c:pt>
                <c:pt idx="143">
                  <c:v>216</c:v>
                </c:pt>
                <c:pt idx="144">
                  <c:v>0</c:v>
                </c:pt>
                <c:pt idx="145">
                  <c:v>3</c:v>
                </c:pt>
                <c:pt idx="146">
                  <c:v>0</c:v>
                </c:pt>
                <c:pt idx="147">
                  <c:v>0</c:v>
                </c:pt>
                <c:pt idx="148">
                  <c:v>7492</c:v>
                </c:pt>
                <c:pt idx="149">
                  <c:v>3553</c:v>
                </c:pt>
                <c:pt idx="150">
                  <c:v>45</c:v>
                </c:pt>
                <c:pt idx="151">
                  <c:v>0</c:v>
                </c:pt>
                <c:pt idx="152">
                  <c:v>0</c:v>
                </c:pt>
                <c:pt idx="153">
                  <c:v>1573</c:v>
                </c:pt>
                <c:pt idx="154">
                  <c:v>155</c:v>
                </c:pt>
                <c:pt idx="155">
                  <c:v>4588</c:v>
                </c:pt>
                <c:pt idx="156">
                  <c:v>0</c:v>
                </c:pt>
                <c:pt idx="157">
                  <c:v>1</c:v>
                </c:pt>
                <c:pt idx="158">
                  <c:v>0</c:v>
                </c:pt>
                <c:pt idx="159">
                  <c:v>0</c:v>
                </c:pt>
                <c:pt idx="160">
                  <c:v>1817</c:v>
                </c:pt>
                <c:pt idx="161">
                  <c:v>4657</c:v>
                </c:pt>
                <c:pt idx="162">
                  <c:v>7913</c:v>
                </c:pt>
                <c:pt idx="163">
                  <c:v>270</c:v>
                </c:pt>
                <c:pt idx="164">
                  <c:v>1032</c:v>
                </c:pt>
                <c:pt idx="165">
                  <c:v>69</c:v>
                </c:pt>
                <c:pt idx="166">
                  <c:v>5</c:v>
                </c:pt>
                <c:pt idx="167">
                  <c:v>0</c:v>
                </c:pt>
                <c:pt idx="168">
                  <c:v>1086</c:v>
                </c:pt>
                <c:pt idx="169">
                  <c:v>7</c:v>
                </c:pt>
                <c:pt idx="170">
                  <c:v>1071</c:v>
                </c:pt>
                <c:pt idx="171">
                  <c:v>0</c:v>
                </c:pt>
                <c:pt idx="172">
                  <c:v>2731</c:v>
                </c:pt>
                <c:pt idx="173">
                  <c:v>9074</c:v>
                </c:pt>
                <c:pt idx="174">
                  <c:v>1835</c:v>
                </c:pt>
                <c:pt idx="175">
                  <c:v>191</c:v>
                </c:pt>
                <c:pt idx="176">
                  <c:v>0</c:v>
                </c:pt>
                <c:pt idx="177">
                  <c:v>8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855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53</c:v>
                </c:pt>
                <c:pt idx="186">
                  <c:v>364</c:v>
                </c:pt>
                <c:pt idx="187">
                  <c:v>81</c:v>
                </c:pt>
                <c:pt idx="188">
                  <c:v>1150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48</c:v>
                </c:pt>
                <c:pt idx="193">
                  <c:v>0</c:v>
                </c:pt>
                <c:pt idx="194">
                  <c:v>2479</c:v>
                </c:pt>
                <c:pt idx="195">
                  <c:v>6523</c:v>
                </c:pt>
                <c:pt idx="196">
                  <c:v>913</c:v>
                </c:pt>
                <c:pt idx="197">
                  <c:v>72</c:v>
                </c:pt>
                <c:pt idx="198">
                  <c:v>0</c:v>
                </c:pt>
                <c:pt idx="199">
                  <c:v>0</c:v>
                </c:pt>
                <c:pt idx="200">
                  <c:v>4</c:v>
                </c:pt>
                <c:pt idx="201">
                  <c:v>1105</c:v>
                </c:pt>
                <c:pt idx="202">
                  <c:v>1680</c:v>
                </c:pt>
                <c:pt idx="203">
                  <c:v>0</c:v>
                </c:pt>
                <c:pt idx="204">
                  <c:v>276</c:v>
                </c:pt>
                <c:pt idx="205">
                  <c:v>0</c:v>
                </c:pt>
                <c:pt idx="206">
                  <c:v>73</c:v>
                </c:pt>
                <c:pt idx="207">
                  <c:v>2694</c:v>
                </c:pt>
                <c:pt idx="208">
                  <c:v>63</c:v>
                </c:pt>
                <c:pt idx="209">
                  <c:v>0</c:v>
                </c:pt>
                <c:pt idx="210">
                  <c:v>2058</c:v>
                </c:pt>
                <c:pt idx="211">
                  <c:v>1486</c:v>
                </c:pt>
                <c:pt idx="212">
                  <c:v>5451</c:v>
                </c:pt>
                <c:pt idx="213">
                  <c:v>573</c:v>
                </c:pt>
                <c:pt idx="214">
                  <c:v>2490</c:v>
                </c:pt>
                <c:pt idx="215">
                  <c:v>2045</c:v>
                </c:pt>
                <c:pt idx="216">
                  <c:v>13958</c:v>
                </c:pt>
                <c:pt idx="217">
                  <c:v>412</c:v>
                </c:pt>
                <c:pt idx="218">
                  <c:v>669</c:v>
                </c:pt>
                <c:pt idx="219">
                  <c:v>0</c:v>
                </c:pt>
                <c:pt idx="220">
                  <c:v>115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Regression!$A$2:$A$223</c15:f>
                <c15:dlblRangeCache>
                  <c:ptCount val="221"/>
                  <c:pt idx="0">
                    <c:v>Ägypten</c:v>
                  </c:pt>
                  <c:pt idx="1">
                    <c:v>Äquatorialguinea</c:v>
                  </c:pt>
                  <c:pt idx="2">
                    <c:v>Äthiopien</c:v>
                  </c:pt>
                  <c:pt idx="3">
                    <c:v>Afghanistan</c:v>
                  </c:pt>
                  <c:pt idx="4">
                    <c:v>Albanien</c:v>
                  </c:pt>
                  <c:pt idx="5">
                    <c:v>Algerien</c:v>
                  </c:pt>
                  <c:pt idx="6">
                    <c:v>Amerikanische Jungferninseln</c:v>
                  </c:pt>
                  <c:pt idx="7">
                    <c:v>Angola</c:v>
                  </c:pt>
                  <c:pt idx="8">
                    <c:v>Antarktis</c:v>
                  </c:pt>
                  <c:pt idx="9">
                    <c:v>Antigua und Barbuda</c:v>
                  </c:pt>
                  <c:pt idx="10">
                    <c:v>Argentinien</c:v>
                  </c:pt>
                  <c:pt idx="11">
                    <c:v>Armenien</c:v>
                  </c:pt>
                  <c:pt idx="12">
                    <c:v>Aserbaidschan</c:v>
                  </c:pt>
                  <c:pt idx="13">
                    <c:v>Australien</c:v>
                  </c:pt>
                  <c:pt idx="14">
                    <c:v>Bahamas</c:v>
                  </c:pt>
                  <c:pt idx="15">
                    <c:v>Bahrain</c:v>
                  </c:pt>
                  <c:pt idx="16">
                    <c:v>Bangladesch</c:v>
                  </c:pt>
                  <c:pt idx="17">
                    <c:v>Barbados</c:v>
                  </c:pt>
                  <c:pt idx="18">
                    <c:v>Belgien</c:v>
                  </c:pt>
                  <c:pt idx="19">
                    <c:v>Belize</c:v>
                  </c:pt>
                  <c:pt idx="20">
                    <c:v>Benin</c:v>
                  </c:pt>
                  <c:pt idx="21">
                    <c:v>Bermuda</c:v>
                  </c:pt>
                  <c:pt idx="22">
                    <c:v>Bhutan</c:v>
                  </c:pt>
                  <c:pt idx="23">
                    <c:v>Bolivien, Plurinationaler Staat</c:v>
                  </c:pt>
                  <c:pt idx="24">
                    <c:v>Bosnien und Herzegowina</c:v>
                  </c:pt>
                  <c:pt idx="25">
                    <c:v>Botsuana</c:v>
                  </c:pt>
                  <c:pt idx="26">
                    <c:v>Brasilien</c:v>
                  </c:pt>
                  <c:pt idx="27">
                    <c:v>Britische Jungferninseln</c:v>
                  </c:pt>
                  <c:pt idx="28">
                    <c:v>Brunei Darussalam</c:v>
                  </c:pt>
                  <c:pt idx="29">
                    <c:v>Bulgarien</c:v>
                  </c:pt>
                  <c:pt idx="30">
                    <c:v>Burkina Faso</c:v>
                  </c:pt>
                  <c:pt idx="31">
                    <c:v>Burundi</c:v>
                  </c:pt>
                  <c:pt idx="32">
                    <c:v>Cabo Verde</c:v>
                  </c:pt>
                  <c:pt idx="33">
                    <c:v>Chile</c:v>
                  </c:pt>
                  <c:pt idx="34">
                    <c:v>China</c:v>
                  </c:pt>
                  <c:pt idx="35">
                    <c:v>Costa Rica</c:v>
                  </c:pt>
                  <c:pt idx="36">
                    <c:v>Cote d'Ivoire</c:v>
                  </c:pt>
                  <c:pt idx="37">
                    <c:v>Dänemark</c:v>
                  </c:pt>
                  <c:pt idx="38">
                    <c:v>Dominica</c:v>
                  </c:pt>
                  <c:pt idx="39">
                    <c:v>Dominikanische Republik</c:v>
                  </c:pt>
                  <c:pt idx="40">
                    <c:v>Dschibuti</c:v>
                  </c:pt>
                  <c:pt idx="41">
                    <c:v>Ecuador</c:v>
                  </c:pt>
                  <c:pt idx="42">
                    <c:v>El Salvador</c:v>
                  </c:pt>
                  <c:pt idx="43">
                    <c:v>Eritrea</c:v>
                  </c:pt>
                  <c:pt idx="44">
                    <c:v>Estland</c:v>
                  </c:pt>
                  <c:pt idx="45">
                    <c:v>Färöer</c:v>
                  </c:pt>
                  <c:pt idx="46">
                    <c:v>Falklandinseln</c:v>
                  </c:pt>
                  <c:pt idx="47">
                    <c:v>Fidschi</c:v>
                  </c:pt>
                  <c:pt idx="48">
                    <c:v>Finnland</c:v>
                  </c:pt>
                  <c:pt idx="49">
                    <c:v>Frankreich</c:v>
                  </c:pt>
                  <c:pt idx="50">
                    <c:v>Französisch-Guayana</c:v>
                  </c:pt>
                  <c:pt idx="51">
                    <c:v>Französisch-Polynesien</c:v>
                  </c:pt>
                  <c:pt idx="52">
                    <c:v>Gabun</c:v>
                  </c:pt>
                  <c:pt idx="53">
                    <c:v>Gambia</c:v>
                  </c:pt>
                  <c:pt idx="54">
                    <c:v>Georgien</c:v>
                  </c:pt>
                  <c:pt idx="55">
                    <c:v>Ghana</c:v>
                  </c:pt>
                  <c:pt idx="56">
                    <c:v>Gibraltar</c:v>
                  </c:pt>
                  <c:pt idx="57">
                    <c:v>Grenada</c:v>
                  </c:pt>
                  <c:pt idx="58">
                    <c:v>Griechenland, Festland</c:v>
                  </c:pt>
                  <c:pt idx="59">
                    <c:v>Griechenland, Inseln</c:v>
                  </c:pt>
                  <c:pt idx="60">
                    <c:v>Grönland</c:v>
                  </c:pt>
                  <c:pt idx="61">
                    <c:v>Guadeloupe</c:v>
                  </c:pt>
                  <c:pt idx="62">
                    <c:v>Guam</c:v>
                  </c:pt>
                  <c:pt idx="63">
                    <c:v>Guatemala</c:v>
                  </c:pt>
                  <c:pt idx="64">
                    <c:v>Guinea</c:v>
                  </c:pt>
                  <c:pt idx="65">
                    <c:v>Guinea-Bissau</c:v>
                  </c:pt>
                  <c:pt idx="66">
                    <c:v>Guyana</c:v>
                  </c:pt>
                  <c:pt idx="67">
                    <c:v>Haiti</c:v>
                  </c:pt>
                  <c:pt idx="68">
                    <c:v>Honduras</c:v>
                  </c:pt>
                  <c:pt idx="69">
                    <c:v>Hongkong</c:v>
                  </c:pt>
                  <c:pt idx="70">
                    <c:v>Indien</c:v>
                  </c:pt>
                  <c:pt idx="71">
                    <c:v>Indonesien</c:v>
                  </c:pt>
                  <c:pt idx="72">
                    <c:v>Irak</c:v>
                  </c:pt>
                  <c:pt idx="73">
                    <c:v>Iran, Islamische Republik</c:v>
                  </c:pt>
                  <c:pt idx="74">
                    <c:v>Irland</c:v>
                  </c:pt>
                  <c:pt idx="75">
                    <c:v>Island</c:v>
                  </c:pt>
                  <c:pt idx="76">
                    <c:v>Israel</c:v>
                  </c:pt>
                  <c:pt idx="77">
                    <c:v>Italien</c:v>
                  </c:pt>
                  <c:pt idx="78">
                    <c:v>Jamaika</c:v>
                  </c:pt>
                  <c:pt idx="79">
                    <c:v>Japan</c:v>
                  </c:pt>
                  <c:pt idx="80">
                    <c:v>Jemen</c:v>
                  </c:pt>
                  <c:pt idx="81">
                    <c:v>Jordanien</c:v>
                  </c:pt>
                  <c:pt idx="82">
                    <c:v>Kaimaninseln</c:v>
                  </c:pt>
                  <c:pt idx="83">
                    <c:v>Kambodscha</c:v>
                  </c:pt>
                  <c:pt idx="84">
                    <c:v>Kamerun</c:v>
                  </c:pt>
                  <c:pt idx="85">
                    <c:v>Kanada</c:v>
                  </c:pt>
                  <c:pt idx="86">
                    <c:v>Kasachstan</c:v>
                  </c:pt>
                  <c:pt idx="87">
                    <c:v>Katar</c:v>
                  </c:pt>
                  <c:pt idx="88">
                    <c:v>Kenia</c:v>
                  </c:pt>
                  <c:pt idx="89">
                    <c:v>Kirgisistan</c:v>
                  </c:pt>
                  <c:pt idx="90">
                    <c:v>Kiribati</c:v>
                  </c:pt>
                  <c:pt idx="91">
                    <c:v>Kolumbien</c:v>
                  </c:pt>
                  <c:pt idx="92">
                    <c:v>Komoren</c:v>
                  </c:pt>
                  <c:pt idx="93">
                    <c:v>Kongo, Demokratische Republik</c:v>
                  </c:pt>
                  <c:pt idx="94">
                    <c:v>Kongo, Republik</c:v>
                  </c:pt>
                  <c:pt idx="95">
                    <c:v>Korea, Demokratische Volksrepublik</c:v>
                  </c:pt>
                  <c:pt idx="96">
                    <c:v>Korea, Republik</c:v>
                  </c:pt>
                  <c:pt idx="97">
                    <c:v>Kosovo</c:v>
                  </c:pt>
                  <c:pt idx="98">
                    <c:v>Kroatien</c:v>
                  </c:pt>
                  <c:pt idx="99">
                    <c:v>Kuba</c:v>
                  </c:pt>
                  <c:pt idx="100">
                    <c:v>Kuwait</c:v>
                  </c:pt>
                  <c:pt idx="101">
                    <c:v>Laos, Demokratische Volksrepublik</c:v>
                  </c:pt>
                  <c:pt idx="102">
                    <c:v>Lesotho</c:v>
                  </c:pt>
                  <c:pt idx="103">
                    <c:v>Lettland</c:v>
                  </c:pt>
                  <c:pt idx="104">
                    <c:v>Libanon</c:v>
                  </c:pt>
                  <c:pt idx="105">
                    <c:v>Liberia</c:v>
                  </c:pt>
                  <c:pt idx="106">
                    <c:v>Libyen</c:v>
                  </c:pt>
                  <c:pt idx="107">
                    <c:v>Litauen</c:v>
                  </c:pt>
                  <c:pt idx="108">
                    <c:v>Luxemburg</c:v>
                  </c:pt>
                  <c:pt idx="109">
                    <c:v>Macao</c:v>
                  </c:pt>
                  <c:pt idx="110">
                    <c:v>Madagaskar</c:v>
                  </c:pt>
                  <c:pt idx="111">
                    <c:v>Malawi</c:v>
                  </c:pt>
                  <c:pt idx="112">
                    <c:v>Malaysia</c:v>
                  </c:pt>
                  <c:pt idx="113">
                    <c:v>Malediven</c:v>
                  </c:pt>
                  <c:pt idx="114">
                    <c:v>Mali</c:v>
                  </c:pt>
                  <c:pt idx="115">
                    <c:v>Malta</c:v>
                  </c:pt>
                  <c:pt idx="116">
                    <c:v>Marianen</c:v>
                  </c:pt>
                  <c:pt idx="117">
                    <c:v>Marokko</c:v>
                  </c:pt>
                  <c:pt idx="118">
                    <c:v>Martinique</c:v>
                  </c:pt>
                  <c:pt idx="119">
                    <c:v>Mauretanien</c:v>
                  </c:pt>
                  <c:pt idx="120">
                    <c:v>Mauritius</c:v>
                  </c:pt>
                  <c:pt idx="121">
                    <c:v>Mazedonien, ehemalige jugoslawische Republik</c:v>
                  </c:pt>
                  <c:pt idx="122">
                    <c:v>Mexiko</c:v>
                  </c:pt>
                  <c:pt idx="123">
                    <c:v>Moldau, Republik</c:v>
                  </c:pt>
                  <c:pt idx="124">
                    <c:v>Monaco</c:v>
                  </c:pt>
                  <c:pt idx="125">
                    <c:v>Mongolei</c:v>
                  </c:pt>
                  <c:pt idx="126">
                    <c:v>Montenegro (ab 03.06.2006)</c:v>
                  </c:pt>
                  <c:pt idx="127">
                    <c:v>Mosambik</c:v>
                  </c:pt>
                  <c:pt idx="128">
                    <c:v>Myanmar</c:v>
                  </c:pt>
                  <c:pt idx="129">
                    <c:v>Namibia</c:v>
                  </c:pt>
                  <c:pt idx="130">
                    <c:v>Nepal</c:v>
                  </c:pt>
                  <c:pt idx="131">
                    <c:v>Neukaledonien</c:v>
                  </c:pt>
                  <c:pt idx="132">
                    <c:v>Neuseeland</c:v>
                  </c:pt>
                  <c:pt idx="133">
                    <c:v>Nicaragua</c:v>
                  </c:pt>
                  <c:pt idx="134">
                    <c:v>Niederländische Antillen</c:v>
                  </c:pt>
                  <c:pt idx="135">
                    <c:v>Niederlande</c:v>
                  </c:pt>
                  <c:pt idx="136">
                    <c:v>Niger</c:v>
                  </c:pt>
                  <c:pt idx="137">
                    <c:v>Nigeria</c:v>
                  </c:pt>
                  <c:pt idx="138">
                    <c:v>Norwegen</c:v>
                  </c:pt>
                  <c:pt idx="139">
                    <c:v>Österreich</c:v>
                  </c:pt>
                  <c:pt idx="140">
                    <c:v>Oman</c:v>
                  </c:pt>
                  <c:pt idx="141">
                    <c:v>Pakistan</c:v>
                  </c:pt>
                  <c:pt idx="142">
                    <c:v>Palau</c:v>
                  </c:pt>
                  <c:pt idx="143">
                    <c:v>Panama</c:v>
                  </c:pt>
                  <c:pt idx="144">
                    <c:v>Papua-Neuguinea</c:v>
                  </c:pt>
                  <c:pt idx="145">
                    <c:v>Paraguay</c:v>
                  </c:pt>
                  <c:pt idx="146">
                    <c:v>Peru</c:v>
                  </c:pt>
                  <c:pt idx="147">
                    <c:v>Philippinen</c:v>
                  </c:pt>
                  <c:pt idx="148">
                    <c:v>Polen</c:v>
                  </c:pt>
                  <c:pt idx="149">
                    <c:v>Portugal</c:v>
                  </c:pt>
                  <c:pt idx="150">
                    <c:v>Puerto Rico</c:v>
                  </c:pt>
                  <c:pt idx="151">
                    <c:v>Reunion</c:v>
                  </c:pt>
                  <c:pt idx="152">
                    <c:v>Ruanda</c:v>
                  </c:pt>
                  <c:pt idx="153">
                    <c:v>Rumänien</c:v>
                  </c:pt>
                  <c:pt idx="154">
                    <c:v>Russische Föderation, asiatischer Teil</c:v>
                  </c:pt>
                  <c:pt idx="155">
                    <c:v>Russische Föderation, europäischer Teil</c:v>
                  </c:pt>
                  <c:pt idx="156">
                    <c:v>Salomonen</c:v>
                  </c:pt>
                  <c:pt idx="157">
                    <c:v>Sambia</c:v>
                  </c:pt>
                  <c:pt idx="158">
                    <c:v>Samoa</c:v>
                  </c:pt>
                  <c:pt idx="159">
                    <c:v>Sao Tome und Principe</c:v>
                  </c:pt>
                  <c:pt idx="160">
                    <c:v>Saudi-Arabien</c:v>
                  </c:pt>
                  <c:pt idx="161">
                    <c:v>Schweden</c:v>
                  </c:pt>
                  <c:pt idx="162">
                    <c:v>Schweiz</c:v>
                  </c:pt>
                  <c:pt idx="163">
                    <c:v>Senegal</c:v>
                  </c:pt>
                  <c:pt idx="164">
                    <c:v>Serbien (einschl. Kosovo) (03.06.2006-16.02.2008)</c:v>
                  </c:pt>
                  <c:pt idx="165">
                    <c:v>Seychellen</c:v>
                  </c:pt>
                  <c:pt idx="166">
                    <c:v>Sierra Leone</c:v>
                  </c:pt>
                  <c:pt idx="167">
                    <c:v>Simbabwe</c:v>
                  </c:pt>
                  <c:pt idx="168">
                    <c:v>Singapur</c:v>
                  </c:pt>
                  <c:pt idx="169">
                    <c:v>Slowakei</c:v>
                  </c:pt>
                  <c:pt idx="170">
                    <c:v>Slowenien</c:v>
                  </c:pt>
                  <c:pt idx="171">
                    <c:v>Somalia</c:v>
                  </c:pt>
                  <c:pt idx="172">
                    <c:v>Spanien, Balearen</c:v>
                  </c:pt>
                  <c:pt idx="173">
                    <c:v>Spanien, Festland</c:v>
                  </c:pt>
                  <c:pt idx="174">
                    <c:v>Spanien, Kanaren</c:v>
                  </c:pt>
                  <c:pt idx="175">
                    <c:v>Sri Lanka</c:v>
                  </c:pt>
                  <c:pt idx="176">
                    <c:v>St. Kitts und Nevis</c:v>
                  </c:pt>
                  <c:pt idx="177">
                    <c:v>St. Lucia</c:v>
                  </c:pt>
                  <c:pt idx="178">
                    <c:v>St. Pierre und Miquelon</c:v>
                  </c:pt>
                  <c:pt idx="179">
                    <c:v>St. Vincent und die Grenadinen</c:v>
                  </c:pt>
                  <c:pt idx="180">
                    <c:v>Sudan (einschließlich Südsudan) (bis 08.07.2011)</c:v>
                  </c:pt>
                  <c:pt idx="181">
                    <c:v>Südafrika</c:v>
                  </c:pt>
                  <c:pt idx="182">
                    <c:v>Suriname</c:v>
                  </c:pt>
                  <c:pt idx="183">
                    <c:v>Swasiland</c:v>
                  </c:pt>
                  <c:pt idx="184">
                    <c:v>Syrien</c:v>
                  </c:pt>
                  <c:pt idx="185">
                    <c:v>Tadschikistan</c:v>
                  </c:pt>
                  <c:pt idx="186">
                    <c:v>Taiwan</c:v>
                  </c:pt>
                  <c:pt idx="187">
                    <c:v>Tansania</c:v>
                  </c:pt>
                  <c:pt idx="188">
                    <c:v>Thailand</c:v>
                  </c:pt>
                  <c:pt idx="189">
                    <c:v>Timor-Leste</c:v>
                  </c:pt>
                  <c:pt idx="190">
                    <c:v>Togo</c:v>
                  </c:pt>
                  <c:pt idx="191">
                    <c:v>Tonga</c:v>
                  </c:pt>
                  <c:pt idx="192">
                    <c:v>Trinidad und Tobago</c:v>
                  </c:pt>
                  <c:pt idx="193">
                    <c:v>Tschad</c:v>
                  </c:pt>
                  <c:pt idx="194">
                    <c:v>Tschechische Republik</c:v>
                  </c:pt>
                  <c:pt idx="195">
                    <c:v>Türkei</c:v>
                  </c:pt>
                  <c:pt idx="196">
                    <c:v>Tunesien</c:v>
                  </c:pt>
                  <c:pt idx="197">
                    <c:v>Turkmenistan</c:v>
                  </c:pt>
                  <c:pt idx="198">
                    <c:v>Turks- und Caicosinseln</c:v>
                  </c:pt>
                  <c:pt idx="199">
                    <c:v>Tuvalu</c:v>
                  </c:pt>
                  <c:pt idx="200">
                    <c:v>Uganda</c:v>
                  </c:pt>
                  <c:pt idx="201">
                    <c:v>Ukraine</c:v>
                  </c:pt>
                  <c:pt idx="202">
                    <c:v>Ungarn</c:v>
                  </c:pt>
                  <c:pt idx="203">
                    <c:v>Uruguay</c:v>
                  </c:pt>
                  <c:pt idx="204">
                    <c:v>Usbekistan</c:v>
                  </c:pt>
                  <c:pt idx="205">
                    <c:v>Vanuatu</c:v>
                  </c:pt>
                  <c:pt idx="206">
                    <c:v>Venezuela, Bolivarische Republik</c:v>
                  </c:pt>
                  <c:pt idx="207">
                    <c:v>Vereinigte Arabische Emirate</c:v>
                  </c:pt>
                  <c:pt idx="208">
                    <c:v>Vereinigte Staaten (Alaska)</c:v>
                  </c:pt>
                  <c:pt idx="209">
                    <c:v>Vereinigte Staaten (Hawaii)</c:v>
                  </c:pt>
                  <c:pt idx="210">
                    <c:v>Vereinigte Staaten (Mitte nördlich)</c:v>
                  </c:pt>
                  <c:pt idx="211">
                    <c:v>Vereinigte Staaten (Mitte südlich)</c:v>
                  </c:pt>
                  <c:pt idx="212">
                    <c:v>Vereinigte Staaten (Nord-Ost)</c:v>
                  </c:pt>
                  <c:pt idx="213">
                    <c:v>Vereinigte Staaten (Nord-West)</c:v>
                  </c:pt>
                  <c:pt idx="214">
                    <c:v>Vereinigte Staaten (Süd-Ost)</c:v>
                  </c:pt>
                  <c:pt idx="215">
                    <c:v>Vereinigte Staaten (Süd-West)</c:v>
                  </c:pt>
                  <c:pt idx="216">
                    <c:v>Vereinigtes Königreich</c:v>
                  </c:pt>
                  <c:pt idx="217">
                    <c:v>Vietnam</c:v>
                  </c:pt>
                  <c:pt idx="218">
                    <c:v>Weißrussland</c:v>
                  </c:pt>
                  <c:pt idx="219">
                    <c:v>Zentralafrikanische Republik</c:v>
                  </c:pt>
                  <c:pt idx="220">
                    <c:v>Zypern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BBB-445D-8351-264E6D557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869232"/>
        <c:axId val="372860080"/>
      </c:scatterChart>
      <c:valAx>
        <c:axId val="37286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Insgesamt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860080"/>
        <c:crosses val="autoZero"/>
        <c:crossBetween val="midCat"/>
      </c:valAx>
      <c:valAx>
        <c:axId val="372860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F0FRA Frankfurt/Main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869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Optimization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SXF-TXL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SXF</a:t>
                    </a:r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D895-44F9-B416-A3ED1EC59059}"/>
                </c:ext>
              </c:extLst>
            </c:dLbl>
            <c:dLbl>
              <c:idx val="10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TXL</a:t>
                    </a:r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1-D895-44F9-B416-A3ED1EC590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Portfolio!$N$17:$N$27</c:f>
              <c:numCache>
                <c:formatCode>0.00E+00</c:formatCode>
                <c:ptCount val="11"/>
                <c:pt idx="0">
                  <c:v>266644331.68116373</c:v>
                </c:pt>
                <c:pt idx="1">
                  <c:v>211922519.42908618</c:v>
                </c:pt>
                <c:pt idx="2">
                  <c:v>183444190.85404646</c:v>
                </c:pt>
                <c:pt idx="3">
                  <c:v>181209345.95604467</c:v>
                </c:pt>
                <c:pt idx="4">
                  <c:v>205217984.73508084</c:v>
                </c:pt>
                <c:pt idx="5">
                  <c:v>255470107.19115487</c:v>
                </c:pt>
                <c:pt idx="6">
                  <c:v>331965713.32426679</c:v>
                </c:pt>
                <c:pt idx="7">
                  <c:v>434704803.13441658</c:v>
                </c:pt>
                <c:pt idx="8">
                  <c:v>563687376.62160444</c:v>
                </c:pt>
                <c:pt idx="9">
                  <c:v>718913433.78583014</c:v>
                </c:pt>
                <c:pt idx="10">
                  <c:v>900382974.62709367</c:v>
                </c:pt>
              </c:numCache>
            </c:numRef>
          </c:xVal>
          <c:yVal>
            <c:numRef>
              <c:f>Portfolio!$O$17:$O$27</c:f>
              <c:numCache>
                <c:formatCode>0.00E+00</c:formatCode>
                <c:ptCount val="11"/>
                <c:pt idx="0">
                  <c:v>18970.686746987951</c:v>
                </c:pt>
                <c:pt idx="1">
                  <c:v>43913.055421686746</c:v>
                </c:pt>
                <c:pt idx="2">
                  <c:v>68855.424096385541</c:v>
                </c:pt>
                <c:pt idx="3">
                  <c:v>93797.792771084321</c:v>
                </c:pt>
                <c:pt idx="4">
                  <c:v>118740.16144578313</c:v>
                </c:pt>
                <c:pt idx="5">
                  <c:v>143682.53012048191</c:v>
                </c:pt>
                <c:pt idx="6">
                  <c:v>168624.89879518069</c:v>
                </c:pt>
                <c:pt idx="7">
                  <c:v>193567.2674698795</c:v>
                </c:pt>
                <c:pt idx="8">
                  <c:v>218509.63614457831</c:v>
                </c:pt>
                <c:pt idx="9">
                  <c:v>243452.00481927712</c:v>
                </c:pt>
                <c:pt idx="10">
                  <c:v>268394.3734939759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95-44F9-B416-A3ED1EC59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884783"/>
        <c:axId val="17089185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TXL-FRA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0"/>
                    <c:tx>
                      <c:rich>
                        <a:bodyPr rot="0" spcFirstLastPara="1" vertOverflow="clip" horzOverflow="clip" vert="horz" wrap="square" lIns="38100" tIns="19050" rIns="38100" bIns="19050" anchor="ctr" anchorCtr="1">
                          <a:spAutoFit/>
                        </a:bodyPr>
                        <a:lstStyle/>
                        <a:p>
                          <a:pPr>
                            <a:defRPr sz="900" b="0" i="0" u="none" strike="noStrike" kern="1200" baseline="0">
                              <a:solidFill>
                                <a:schemeClr val="dk1">
                                  <a:lumMod val="65000"/>
                                  <a:lumOff val="35000"/>
                                </a:schemeClr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r>
                            <a:rPr lang="en-US"/>
                            <a:t>FRA</a:t>
                          </a:r>
                        </a:p>
                      </c:rich>
                    </c:tx>
                    <c:spPr>
                      <a:solidFill>
                        <a:sysClr val="window" lastClr="FFFFFF"/>
                      </a:solidFill>
                      <a:ln>
                        <a:solidFill>
                          <a:sysClr val="windowText" lastClr="000000">
                            <a:lumMod val="25000"/>
                            <a:lumOff val="75000"/>
                          </a:sysClr>
                        </a:solidFill>
                      </a:ln>
                      <a:effectLst/>
                    </c:spPr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>
                      <c:ext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</c15:spPr>
                      </c:ext>
                      <c:ext xmlns:c16="http://schemas.microsoft.com/office/drawing/2014/chart" uri="{C3380CC4-5D6E-409C-BE32-E72D297353CC}">
                        <c16:uniqueId val="{00000003-D895-44F9-B416-A3ED1EC5905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>
                    <c:ext uri="{CE6537A1-D6FC-4f65-9D91-7224C49458BB}">
                      <c15:showLeaderLines val="0"/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Portfolio!$N$27:$N$37</c15:sqref>
                        </c15:formulaRef>
                      </c:ext>
                    </c:extLst>
                    <c:numCache>
                      <c:formatCode>0.00E+00</c:formatCode>
                      <c:ptCount val="11"/>
                      <c:pt idx="0">
                        <c:v>900382974.62709367</c:v>
                      </c:pt>
                      <c:pt idx="1">
                        <c:v>859067297.42878056</c:v>
                      </c:pt>
                      <c:pt idx="2">
                        <c:v>830957507.16660607</c:v>
                      </c:pt>
                      <c:pt idx="3">
                        <c:v>816053603.84056997</c:v>
                      </c:pt>
                      <c:pt idx="4">
                        <c:v>814355587.4506731</c:v>
                      </c:pt>
                      <c:pt idx="5">
                        <c:v>825863457.99691463</c:v>
                      </c:pt>
                      <c:pt idx="6">
                        <c:v>850577215.47929478</c:v>
                      </c:pt>
                      <c:pt idx="7">
                        <c:v>888496859.89781368</c:v>
                      </c:pt>
                      <c:pt idx="8">
                        <c:v>939622391.25247157</c:v>
                      </c:pt>
                      <c:pt idx="9">
                        <c:v>1003953809.5432678</c:v>
                      </c:pt>
                      <c:pt idx="10">
                        <c:v>1081491114.7702029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Portfolio!$O$27:$O$37</c15:sqref>
                        </c15:formulaRef>
                      </c:ext>
                    </c:extLst>
                    <c:numCache>
                      <c:formatCode>0.00E+00</c:formatCode>
                      <c:ptCount val="11"/>
                      <c:pt idx="0">
                        <c:v>268394.3734939759</c:v>
                      </c:pt>
                      <c:pt idx="1">
                        <c:v>268164.60000000003</c:v>
                      </c:pt>
                      <c:pt idx="2">
                        <c:v>267934.82650602411</c:v>
                      </c:pt>
                      <c:pt idx="3">
                        <c:v>267705.05301204819</c:v>
                      </c:pt>
                      <c:pt idx="4">
                        <c:v>267475.27951807226</c:v>
                      </c:pt>
                      <c:pt idx="5">
                        <c:v>267245.50602409639</c:v>
                      </c:pt>
                      <c:pt idx="6">
                        <c:v>267015.73253012047</c:v>
                      </c:pt>
                      <c:pt idx="7">
                        <c:v>266785.95903614454</c:v>
                      </c:pt>
                      <c:pt idx="8">
                        <c:v>266556.18554216874</c:v>
                      </c:pt>
                      <c:pt idx="9">
                        <c:v>266326.41204819281</c:v>
                      </c:pt>
                      <c:pt idx="10">
                        <c:v>266096.63855421689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D895-44F9-B416-A3ED1EC5905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FRA-LBC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10"/>
                    <c:tx>
                      <c:rich>
                        <a:bodyPr rot="0" spcFirstLastPara="1" vertOverflow="clip" horzOverflow="clip" vert="horz" wrap="square" lIns="38100" tIns="19050" rIns="38100" bIns="19050" anchor="ctr" anchorCtr="1">
                          <a:spAutoFit/>
                        </a:bodyPr>
                        <a:lstStyle/>
                        <a:p>
                          <a:pPr>
                            <a:defRPr sz="900" b="0" i="0" u="none" strike="noStrike" kern="1200" baseline="0">
                              <a:solidFill>
                                <a:schemeClr val="dk1">
                                  <a:lumMod val="65000"/>
                                  <a:lumOff val="35000"/>
                                </a:schemeClr>
                              </a:solidFill>
                              <a:latin typeface="+mn-lt"/>
                              <a:ea typeface="+mn-ea"/>
                              <a:cs typeface="+mn-cs"/>
                            </a:defRPr>
                          </a:pPr>
                          <a:r>
                            <a:rPr lang="en-US"/>
                            <a:t>LBC</a:t>
                          </a:r>
                        </a:p>
                      </c:rich>
                    </c:tx>
                    <c:spPr>
                      <a:solidFill>
                        <a:sysClr val="window" lastClr="FFFFFF"/>
                      </a:solidFill>
                      <a:ln>
                        <a:solidFill>
                          <a:sysClr val="windowText" lastClr="000000">
                            <a:lumMod val="25000"/>
                            <a:lumOff val="75000"/>
                          </a:sysClr>
                        </a:solidFill>
                      </a:ln>
                      <a:effectLst/>
                    </c:spPr>
                    <c:showLegendKey val="0"/>
                    <c:showVal val="1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pPr xmlns:c15="http://schemas.microsoft.com/office/drawing/2012/chart">
                          <a:prstGeom prst="wedgeRectCallout">
                            <a:avLst/>
                          </a:prstGeom>
                        </c15:spPr>
                      </c:ext>
                      <c:ext xmlns:c16="http://schemas.microsoft.com/office/drawing/2014/chart" uri="{C3380CC4-5D6E-409C-BE32-E72D297353CC}">
                        <c16:uniqueId val="{00000005-D895-44F9-B416-A3ED1EC5905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Portfolio!$N$37:$N$47</c15:sqref>
                        </c15:formulaRef>
                      </c:ext>
                    </c:extLst>
                    <c:numCache>
                      <c:formatCode>0.00E+00</c:formatCode>
                      <c:ptCount val="11"/>
                      <c:pt idx="0">
                        <c:v>1081491114.7702029</c:v>
                      </c:pt>
                      <c:pt idx="1">
                        <c:v>876126088.53760731</c:v>
                      </c:pt>
                      <c:pt idx="2">
                        <c:v>692364662.67728031</c:v>
                      </c:pt>
                      <c:pt idx="3">
                        <c:v>530206837.18922138</c:v>
                      </c:pt>
                      <c:pt idx="4">
                        <c:v>389652612.07343125</c:v>
                      </c:pt>
                      <c:pt idx="5">
                        <c:v>270701987.3299095</c:v>
                      </c:pt>
                      <c:pt idx="6">
                        <c:v>173354962.95865619</c:v>
                      </c:pt>
                      <c:pt idx="7">
                        <c:v>97611538.959671363</c:v>
                      </c:pt>
                      <c:pt idx="8">
                        <c:v>43471715.332955018</c:v>
                      </c:pt>
                      <c:pt idx="9">
                        <c:v>10935492.078507114</c:v>
                      </c:pt>
                      <c:pt idx="10">
                        <c:v>2869.1963276836168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Portfolio!$O$37:$O$47</c15:sqref>
                        </c15:formulaRef>
                      </c:ext>
                    </c:extLst>
                    <c:numCache>
                      <c:formatCode>0.00E+00</c:formatCode>
                      <c:ptCount val="11"/>
                      <c:pt idx="0">
                        <c:v>266096.63855421689</c:v>
                      </c:pt>
                      <c:pt idx="1">
                        <c:v>239495.58303212855</c:v>
                      </c:pt>
                      <c:pt idx="2">
                        <c:v>212894.52751004021</c:v>
                      </c:pt>
                      <c:pt idx="3">
                        <c:v>186293.47198795181</c:v>
                      </c:pt>
                      <c:pt idx="4">
                        <c:v>159692.41646586344</c:v>
                      </c:pt>
                      <c:pt idx="5">
                        <c:v>133091.3609437751</c:v>
                      </c:pt>
                      <c:pt idx="6">
                        <c:v>106490.30542168676</c:v>
                      </c:pt>
                      <c:pt idx="7">
                        <c:v>79889.249899598391</c:v>
                      </c:pt>
                      <c:pt idx="8">
                        <c:v>53288.194377510052</c:v>
                      </c:pt>
                      <c:pt idx="9">
                        <c:v>26687.13885542169</c:v>
                      </c:pt>
                      <c:pt idx="10">
                        <c:v>86.083333333333329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895-44F9-B416-A3ED1EC5905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LBC-SXF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Portfolio!$N$47:$N$57</c15:sqref>
                        </c15:formulaRef>
                      </c:ext>
                    </c:extLst>
                    <c:numCache>
                      <c:formatCode>0.00E+00</c:formatCode>
                      <c:ptCount val="11"/>
                      <c:pt idx="0">
                        <c:v>2869.1963276836168</c:v>
                      </c:pt>
                      <c:pt idx="1">
                        <c:v>2652093.4210065529</c:v>
                      </c:pt>
                      <c:pt idx="2">
                        <c:v>10637966.984308699</c:v>
                      </c:pt>
                      <c:pt idx="3">
                        <c:v>23960489.886234112</c:v>
                      </c:pt>
                      <c:pt idx="4">
                        <c:v>42619662.126782812</c:v>
                      </c:pt>
                      <c:pt idx="5">
                        <c:v>66615483.705954775</c:v>
                      </c:pt>
                      <c:pt idx="6">
                        <c:v>95947954.623750016</c:v>
                      </c:pt>
                      <c:pt idx="7">
                        <c:v>130617074.88016851</c:v>
                      </c:pt>
                      <c:pt idx="8">
                        <c:v>170622844.47521034</c:v>
                      </c:pt>
                      <c:pt idx="9">
                        <c:v>215965263.40887541</c:v>
                      </c:pt>
                      <c:pt idx="10">
                        <c:v>266644331.68116373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Portfolio!$O$47:$O$57</c15:sqref>
                        </c15:formulaRef>
                      </c:ext>
                    </c:extLst>
                    <c:numCache>
                      <c:formatCode>0.00E+00</c:formatCode>
                      <c:ptCount val="11"/>
                      <c:pt idx="0">
                        <c:v>86.083333333333329</c:v>
                      </c:pt>
                      <c:pt idx="1">
                        <c:v>1974.543674698795</c:v>
                      </c:pt>
                      <c:pt idx="2">
                        <c:v>3863.004016064257</c:v>
                      </c:pt>
                      <c:pt idx="3">
                        <c:v>5751.4643574297179</c:v>
                      </c:pt>
                      <c:pt idx="4">
                        <c:v>7639.9246987951801</c:v>
                      </c:pt>
                      <c:pt idx="5">
                        <c:v>9528.3850401606414</c:v>
                      </c:pt>
                      <c:pt idx="6">
                        <c:v>11416.845381526102</c:v>
                      </c:pt>
                      <c:pt idx="7">
                        <c:v>13305.305722891566</c:v>
                      </c:pt>
                      <c:pt idx="8">
                        <c:v>15193.766064257028</c:v>
                      </c:pt>
                      <c:pt idx="9">
                        <c:v>17082.226405622489</c:v>
                      </c:pt>
                      <c:pt idx="10">
                        <c:v>18970.686746987951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895-44F9-B416-A3ED1EC59059}"/>
                  </c:ext>
                </c:extLst>
              </c15:ser>
            </c15:filteredScatterSeries>
          </c:ext>
        </c:extLst>
      </c:scatterChart>
      <c:valAx>
        <c:axId val="17088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Variability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91855"/>
        <c:crosses val="autoZero"/>
        <c:crossBetween val="midCat"/>
      </c:valAx>
      <c:valAx>
        <c:axId val="17089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Expected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84783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Portfolio Optimization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SXF-TXL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SXF</a:t>
                    </a:r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0-83AA-4233-AE50-D83B2E6736D6}"/>
                </c:ext>
              </c:extLst>
            </c:dLbl>
            <c:dLbl>
              <c:idx val="10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TXL</a:t>
                    </a:r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1-83AA-4233-AE50-D83B2E6736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Portfolio!$N$17:$N$27</c:f>
              <c:numCache>
                <c:formatCode>0.00E+00</c:formatCode>
                <c:ptCount val="11"/>
                <c:pt idx="0">
                  <c:v>266644331.68116373</c:v>
                </c:pt>
                <c:pt idx="1">
                  <c:v>211922519.42908618</c:v>
                </c:pt>
                <c:pt idx="2">
                  <c:v>183444190.85404646</c:v>
                </c:pt>
                <c:pt idx="3">
                  <c:v>181209345.95604467</c:v>
                </c:pt>
                <c:pt idx="4">
                  <c:v>205217984.73508084</c:v>
                </c:pt>
                <c:pt idx="5">
                  <c:v>255470107.19115487</c:v>
                </c:pt>
                <c:pt idx="6">
                  <c:v>331965713.32426679</c:v>
                </c:pt>
                <c:pt idx="7">
                  <c:v>434704803.13441658</c:v>
                </c:pt>
                <c:pt idx="8">
                  <c:v>563687376.62160444</c:v>
                </c:pt>
                <c:pt idx="9">
                  <c:v>718913433.78583014</c:v>
                </c:pt>
                <c:pt idx="10">
                  <c:v>900382974.62709367</c:v>
                </c:pt>
              </c:numCache>
            </c:numRef>
          </c:xVal>
          <c:yVal>
            <c:numRef>
              <c:f>Portfolio!$O$17:$O$27</c:f>
              <c:numCache>
                <c:formatCode>0.00E+00</c:formatCode>
                <c:ptCount val="11"/>
                <c:pt idx="0">
                  <c:v>18970.686746987951</c:v>
                </c:pt>
                <c:pt idx="1">
                  <c:v>43913.055421686746</c:v>
                </c:pt>
                <c:pt idx="2">
                  <c:v>68855.424096385541</c:v>
                </c:pt>
                <c:pt idx="3">
                  <c:v>93797.792771084321</c:v>
                </c:pt>
                <c:pt idx="4">
                  <c:v>118740.16144578313</c:v>
                </c:pt>
                <c:pt idx="5">
                  <c:v>143682.53012048191</c:v>
                </c:pt>
                <c:pt idx="6">
                  <c:v>168624.89879518069</c:v>
                </c:pt>
                <c:pt idx="7">
                  <c:v>193567.2674698795</c:v>
                </c:pt>
                <c:pt idx="8">
                  <c:v>218509.63614457831</c:v>
                </c:pt>
                <c:pt idx="9">
                  <c:v>243452.00481927712</c:v>
                </c:pt>
                <c:pt idx="10">
                  <c:v>268394.3734939759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AA-4233-AE50-D83B2E6736D6}"/>
            </c:ext>
          </c:extLst>
        </c:ser>
        <c:ser>
          <c:idx val="1"/>
          <c:order val="1"/>
          <c:tx>
            <c:v>TXL-FRA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FRA</a:t>
                    </a:r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3-83AA-4233-AE50-D83B2E6736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Portfolio!$N$27:$N$37</c:f>
              <c:numCache>
                <c:formatCode>0.00E+00</c:formatCode>
                <c:ptCount val="11"/>
                <c:pt idx="0">
                  <c:v>900382974.62709367</c:v>
                </c:pt>
                <c:pt idx="1">
                  <c:v>859067297.42878056</c:v>
                </c:pt>
                <c:pt idx="2">
                  <c:v>830957507.16660607</c:v>
                </c:pt>
                <c:pt idx="3">
                  <c:v>816053603.84056997</c:v>
                </c:pt>
                <c:pt idx="4">
                  <c:v>814355587.4506731</c:v>
                </c:pt>
                <c:pt idx="5">
                  <c:v>825863457.99691463</c:v>
                </c:pt>
                <c:pt idx="6">
                  <c:v>850577215.47929478</c:v>
                </c:pt>
                <c:pt idx="7">
                  <c:v>888496859.89781368</c:v>
                </c:pt>
                <c:pt idx="8">
                  <c:v>939622391.25247157</c:v>
                </c:pt>
                <c:pt idx="9">
                  <c:v>1003953809.5432678</c:v>
                </c:pt>
                <c:pt idx="10">
                  <c:v>1081491114.7702029</c:v>
                </c:pt>
              </c:numCache>
            </c:numRef>
          </c:xVal>
          <c:yVal>
            <c:numRef>
              <c:f>Portfolio!$O$27:$O$37</c:f>
              <c:numCache>
                <c:formatCode>0.00E+00</c:formatCode>
                <c:ptCount val="11"/>
                <c:pt idx="0">
                  <c:v>268394.3734939759</c:v>
                </c:pt>
                <c:pt idx="1">
                  <c:v>268164.60000000003</c:v>
                </c:pt>
                <c:pt idx="2">
                  <c:v>267934.82650602411</c:v>
                </c:pt>
                <c:pt idx="3">
                  <c:v>267705.05301204819</c:v>
                </c:pt>
                <c:pt idx="4">
                  <c:v>267475.27951807226</c:v>
                </c:pt>
                <c:pt idx="5">
                  <c:v>267245.50602409639</c:v>
                </c:pt>
                <c:pt idx="6">
                  <c:v>267015.73253012047</c:v>
                </c:pt>
                <c:pt idx="7">
                  <c:v>266785.95903614454</c:v>
                </c:pt>
                <c:pt idx="8">
                  <c:v>266556.18554216874</c:v>
                </c:pt>
                <c:pt idx="9">
                  <c:v>266326.41204819281</c:v>
                </c:pt>
                <c:pt idx="10">
                  <c:v>266096.63855421689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3AA-4233-AE50-D83B2E6736D6}"/>
            </c:ext>
          </c:extLst>
        </c:ser>
        <c:ser>
          <c:idx val="2"/>
          <c:order val="2"/>
          <c:tx>
            <c:v>FRA-LBC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LBC</a:t>
                    </a:r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5-83AA-4233-AE50-D83B2E6736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Portfolio!$N$37:$N$47</c:f>
              <c:numCache>
                <c:formatCode>0.00E+00</c:formatCode>
                <c:ptCount val="11"/>
                <c:pt idx="0">
                  <c:v>1081491114.7702029</c:v>
                </c:pt>
                <c:pt idx="1">
                  <c:v>876126088.53760731</c:v>
                </c:pt>
                <c:pt idx="2">
                  <c:v>692364662.67728031</c:v>
                </c:pt>
                <c:pt idx="3">
                  <c:v>530206837.18922138</c:v>
                </c:pt>
                <c:pt idx="4">
                  <c:v>389652612.07343125</c:v>
                </c:pt>
                <c:pt idx="5">
                  <c:v>270701987.3299095</c:v>
                </c:pt>
                <c:pt idx="6">
                  <c:v>173354962.95865619</c:v>
                </c:pt>
                <c:pt idx="7">
                  <c:v>97611538.959671363</c:v>
                </c:pt>
                <c:pt idx="8">
                  <c:v>43471715.332955018</c:v>
                </c:pt>
                <c:pt idx="9">
                  <c:v>10935492.078507114</c:v>
                </c:pt>
                <c:pt idx="10">
                  <c:v>2869.1963276836168</c:v>
                </c:pt>
              </c:numCache>
            </c:numRef>
          </c:xVal>
          <c:yVal>
            <c:numRef>
              <c:f>Portfolio!$O$37:$O$47</c:f>
              <c:numCache>
                <c:formatCode>0.00E+00</c:formatCode>
                <c:ptCount val="11"/>
                <c:pt idx="0">
                  <c:v>266096.63855421689</c:v>
                </c:pt>
                <c:pt idx="1">
                  <c:v>239495.58303212855</c:v>
                </c:pt>
                <c:pt idx="2">
                  <c:v>212894.52751004021</c:v>
                </c:pt>
                <c:pt idx="3">
                  <c:v>186293.47198795181</c:v>
                </c:pt>
                <c:pt idx="4">
                  <c:v>159692.41646586344</c:v>
                </c:pt>
                <c:pt idx="5">
                  <c:v>133091.3609437751</c:v>
                </c:pt>
                <c:pt idx="6">
                  <c:v>106490.30542168676</c:v>
                </c:pt>
                <c:pt idx="7">
                  <c:v>79889.249899598391</c:v>
                </c:pt>
                <c:pt idx="8">
                  <c:v>53288.194377510052</c:v>
                </c:pt>
                <c:pt idx="9">
                  <c:v>26687.13885542169</c:v>
                </c:pt>
                <c:pt idx="10">
                  <c:v>86.083333333333329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3AA-4233-AE50-D83B2E6736D6}"/>
            </c:ext>
          </c:extLst>
        </c:ser>
        <c:ser>
          <c:idx val="3"/>
          <c:order val="3"/>
          <c:tx>
            <c:v>LBC-SXF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Portfolio!$N$47:$N$57</c:f>
              <c:numCache>
                <c:formatCode>0.00E+00</c:formatCode>
                <c:ptCount val="11"/>
                <c:pt idx="0">
                  <c:v>2869.1963276836168</c:v>
                </c:pt>
                <c:pt idx="1">
                  <c:v>2652093.4210065529</c:v>
                </c:pt>
                <c:pt idx="2">
                  <c:v>10637966.984308699</c:v>
                </c:pt>
                <c:pt idx="3">
                  <c:v>23960489.886234112</c:v>
                </c:pt>
                <c:pt idx="4">
                  <c:v>42619662.126782812</c:v>
                </c:pt>
                <c:pt idx="5">
                  <c:v>66615483.705954775</c:v>
                </c:pt>
                <c:pt idx="6">
                  <c:v>95947954.623750016</c:v>
                </c:pt>
                <c:pt idx="7">
                  <c:v>130617074.88016851</c:v>
                </c:pt>
                <c:pt idx="8">
                  <c:v>170622844.47521034</c:v>
                </c:pt>
                <c:pt idx="9">
                  <c:v>215965263.40887541</c:v>
                </c:pt>
                <c:pt idx="10">
                  <c:v>266644331.68116373</c:v>
                </c:pt>
              </c:numCache>
            </c:numRef>
          </c:xVal>
          <c:yVal>
            <c:numRef>
              <c:f>Portfolio!$O$47:$O$57</c:f>
              <c:numCache>
                <c:formatCode>0.00E+00</c:formatCode>
                <c:ptCount val="11"/>
                <c:pt idx="0">
                  <c:v>86.083333333333329</c:v>
                </c:pt>
                <c:pt idx="1">
                  <c:v>1974.543674698795</c:v>
                </c:pt>
                <c:pt idx="2">
                  <c:v>3863.004016064257</c:v>
                </c:pt>
                <c:pt idx="3">
                  <c:v>5751.4643574297179</c:v>
                </c:pt>
                <c:pt idx="4">
                  <c:v>7639.9246987951801</c:v>
                </c:pt>
                <c:pt idx="5">
                  <c:v>9528.3850401606414</c:v>
                </c:pt>
                <c:pt idx="6">
                  <c:v>11416.845381526102</c:v>
                </c:pt>
                <c:pt idx="7">
                  <c:v>13305.305722891566</c:v>
                </c:pt>
                <c:pt idx="8">
                  <c:v>15193.766064257028</c:v>
                </c:pt>
                <c:pt idx="9">
                  <c:v>17082.226405622489</c:v>
                </c:pt>
                <c:pt idx="10">
                  <c:v>18970.686746987951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3AA-4233-AE50-D83B2E673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884783"/>
        <c:axId val="170891855"/>
      </c:scatterChart>
      <c:valAx>
        <c:axId val="17088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Variability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91855"/>
        <c:crosses val="autoZero"/>
        <c:crossBetween val="midCat"/>
      </c:valAx>
      <c:valAx>
        <c:axId val="17089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Expected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84783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2300306211723535E-2"/>
                  <c:y val="-0.182600976961213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TimeSeriesAnalysis!$D$3:$D$85</c:f>
              <c:numCache>
                <c:formatCode>General</c:formatCode>
                <c:ptCount val="8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</c:numCache>
            </c:numRef>
          </c:xVal>
          <c:yVal>
            <c:numRef>
              <c:f>TimeSeriesAnalysis!$C$3:$C$85</c:f>
              <c:numCache>
                <c:formatCode>General</c:formatCode>
                <c:ptCount val="83"/>
                <c:pt idx="0">
                  <c:v>218494</c:v>
                </c:pt>
                <c:pt idx="1">
                  <c:v>228691</c:v>
                </c:pt>
                <c:pt idx="2">
                  <c:v>256693</c:v>
                </c:pt>
                <c:pt idx="3">
                  <c:v>228348</c:v>
                </c:pt>
                <c:pt idx="4">
                  <c:v>285239</c:v>
                </c:pt>
                <c:pt idx="5">
                  <c:v>256816</c:v>
                </c:pt>
                <c:pt idx="6">
                  <c:v>234425</c:v>
                </c:pt>
                <c:pt idx="7">
                  <c:v>223038</c:v>
                </c:pt>
                <c:pt idx="8">
                  <c:v>292189</c:v>
                </c:pt>
                <c:pt idx="9">
                  <c:v>262724</c:v>
                </c:pt>
                <c:pt idx="10">
                  <c:v>289564</c:v>
                </c:pt>
                <c:pt idx="11">
                  <c:v>235930</c:v>
                </c:pt>
                <c:pt idx="12">
                  <c:v>225286</c:v>
                </c:pt>
                <c:pt idx="13">
                  <c:v>227284</c:v>
                </c:pt>
                <c:pt idx="14">
                  <c:v>272051</c:v>
                </c:pt>
                <c:pt idx="15">
                  <c:v>238359</c:v>
                </c:pt>
                <c:pt idx="16">
                  <c:v>274210</c:v>
                </c:pt>
                <c:pt idx="17">
                  <c:v>265254</c:v>
                </c:pt>
                <c:pt idx="18">
                  <c:v>218571</c:v>
                </c:pt>
                <c:pt idx="19">
                  <c:v>230663</c:v>
                </c:pt>
                <c:pt idx="20">
                  <c:v>276216</c:v>
                </c:pt>
                <c:pt idx="21">
                  <c:v>272795</c:v>
                </c:pt>
                <c:pt idx="22">
                  <c:v>312568</c:v>
                </c:pt>
                <c:pt idx="23">
                  <c:v>233456</c:v>
                </c:pt>
                <c:pt idx="24">
                  <c:v>238175</c:v>
                </c:pt>
                <c:pt idx="25">
                  <c:v>237182</c:v>
                </c:pt>
                <c:pt idx="26">
                  <c:v>268118</c:v>
                </c:pt>
                <c:pt idx="27">
                  <c:v>281337</c:v>
                </c:pt>
                <c:pt idx="28">
                  <c:v>260012</c:v>
                </c:pt>
                <c:pt idx="29">
                  <c:v>308009</c:v>
                </c:pt>
                <c:pt idx="30">
                  <c:v>246961</c:v>
                </c:pt>
                <c:pt idx="31">
                  <c:v>245593</c:v>
                </c:pt>
                <c:pt idx="32">
                  <c:v>309197</c:v>
                </c:pt>
                <c:pt idx="33">
                  <c:v>290275</c:v>
                </c:pt>
                <c:pt idx="34">
                  <c:v>306498</c:v>
                </c:pt>
                <c:pt idx="35">
                  <c:v>243648</c:v>
                </c:pt>
                <c:pt idx="36">
                  <c:v>252381</c:v>
                </c:pt>
                <c:pt idx="37">
                  <c:v>254012</c:v>
                </c:pt>
                <c:pt idx="38">
                  <c:v>281927</c:v>
                </c:pt>
                <c:pt idx="39">
                  <c:v>256965</c:v>
                </c:pt>
                <c:pt idx="40">
                  <c:v>306552</c:v>
                </c:pt>
                <c:pt idx="41">
                  <c:v>295952</c:v>
                </c:pt>
                <c:pt idx="42">
                  <c:v>269979</c:v>
                </c:pt>
                <c:pt idx="43">
                  <c:v>228286</c:v>
                </c:pt>
                <c:pt idx="44">
                  <c:v>313512</c:v>
                </c:pt>
                <c:pt idx="45">
                  <c:v>295946</c:v>
                </c:pt>
                <c:pt idx="46">
                  <c:v>310511</c:v>
                </c:pt>
                <c:pt idx="47">
                  <c:v>248073</c:v>
                </c:pt>
                <c:pt idx="48">
                  <c:v>242987</c:v>
                </c:pt>
                <c:pt idx="49">
                  <c:v>244650</c:v>
                </c:pt>
                <c:pt idx="50">
                  <c:v>293274</c:v>
                </c:pt>
                <c:pt idx="51">
                  <c:v>272165</c:v>
                </c:pt>
                <c:pt idx="52">
                  <c:v>288142</c:v>
                </c:pt>
                <c:pt idx="53">
                  <c:v>308261</c:v>
                </c:pt>
                <c:pt idx="54">
                  <c:v>271800</c:v>
                </c:pt>
                <c:pt idx="55">
                  <c:v>228447</c:v>
                </c:pt>
                <c:pt idx="56">
                  <c:v>310079</c:v>
                </c:pt>
                <c:pt idx="57">
                  <c:v>291771</c:v>
                </c:pt>
                <c:pt idx="58">
                  <c:v>293675</c:v>
                </c:pt>
                <c:pt idx="59">
                  <c:v>244029</c:v>
                </c:pt>
                <c:pt idx="60">
                  <c:v>237597</c:v>
                </c:pt>
                <c:pt idx="61">
                  <c:v>249407</c:v>
                </c:pt>
                <c:pt idx="62">
                  <c:v>264135</c:v>
                </c:pt>
                <c:pt idx="63">
                  <c:v>288392</c:v>
                </c:pt>
                <c:pt idx="64">
                  <c:v>277633</c:v>
                </c:pt>
                <c:pt idx="65">
                  <c:v>329006</c:v>
                </c:pt>
                <c:pt idx="66">
                  <c:v>276065</c:v>
                </c:pt>
                <c:pt idx="67">
                  <c:v>233824</c:v>
                </c:pt>
                <c:pt idx="68">
                  <c:v>321957</c:v>
                </c:pt>
                <c:pt idx="69">
                  <c:v>276178</c:v>
                </c:pt>
                <c:pt idx="70">
                  <c:v>315904</c:v>
                </c:pt>
                <c:pt idx="71">
                  <c:v>260283</c:v>
                </c:pt>
                <c:pt idx="72">
                  <c:v>252196</c:v>
                </c:pt>
                <c:pt idx="73">
                  <c:v>243325</c:v>
                </c:pt>
                <c:pt idx="74">
                  <c:v>269458</c:v>
                </c:pt>
                <c:pt idx="75">
                  <c:v>270076</c:v>
                </c:pt>
                <c:pt idx="76">
                  <c:v>331932</c:v>
                </c:pt>
                <c:pt idx="77">
                  <c:v>318747</c:v>
                </c:pt>
                <c:pt idx="78">
                  <c:v>293590</c:v>
                </c:pt>
                <c:pt idx="79">
                  <c:v>241032</c:v>
                </c:pt>
                <c:pt idx="80">
                  <c:v>313661</c:v>
                </c:pt>
                <c:pt idx="81">
                  <c:v>264179</c:v>
                </c:pt>
                <c:pt idx="82">
                  <c:v>250911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55-4048-91DF-33288B3C616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TimeSeriesAnalysis!$D$3:$D$85</c:f>
              <c:numCache>
                <c:formatCode>General</c:formatCode>
                <c:ptCount val="8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</c:numCache>
            </c:numRef>
          </c:xVal>
          <c:yVal>
            <c:numRef>
              <c:f>TimeSeriesAnalysis!$M$3:$M$85</c:f>
              <c:numCache>
                <c:formatCode>0.0</c:formatCode>
                <c:ptCount val="83"/>
                <c:pt idx="0">
                  <c:v>222446.86857142855</c:v>
                </c:pt>
                <c:pt idx="1">
                  <c:v>224937.58285714287</c:v>
                </c:pt>
                <c:pt idx="2">
                  <c:v>256524.01142857142</c:v>
                </c:pt>
                <c:pt idx="3">
                  <c:v>246522.01142857142</c:v>
                </c:pt>
                <c:pt idx="4">
                  <c:v>273390.2971428571</c:v>
                </c:pt>
                <c:pt idx="5">
                  <c:v>281722.44</c:v>
                </c:pt>
                <c:pt idx="6">
                  <c:v>243057.58285714287</c:v>
                </c:pt>
                <c:pt idx="7">
                  <c:v>217270.72571428571</c:v>
                </c:pt>
                <c:pt idx="8">
                  <c:v>289546.15428571432</c:v>
                </c:pt>
                <c:pt idx="9">
                  <c:v>263411.44</c:v>
                </c:pt>
                <c:pt idx="10">
                  <c:v>281377.58285714284</c:v>
                </c:pt>
                <c:pt idx="11">
                  <c:v>231142.69999999998</c:v>
                </c:pt>
                <c:pt idx="12">
                  <c:v>227684.38857142857</c:v>
                </c:pt>
                <c:pt idx="13">
                  <c:v>230175.10285714286</c:v>
                </c:pt>
                <c:pt idx="14">
                  <c:v>261761.53142857141</c:v>
                </c:pt>
                <c:pt idx="15">
                  <c:v>251759.53142857141</c:v>
                </c:pt>
                <c:pt idx="16">
                  <c:v>278627.81714285712</c:v>
                </c:pt>
                <c:pt idx="17">
                  <c:v>286959.96000000002</c:v>
                </c:pt>
                <c:pt idx="18">
                  <c:v>248295.10285714286</c:v>
                </c:pt>
                <c:pt idx="19">
                  <c:v>222508.24571428573</c:v>
                </c:pt>
                <c:pt idx="20">
                  <c:v>294783.67428571428</c:v>
                </c:pt>
                <c:pt idx="21">
                  <c:v>268648.96000000002</c:v>
                </c:pt>
                <c:pt idx="22">
                  <c:v>286615.10285714286</c:v>
                </c:pt>
                <c:pt idx="23">
                  <c:v>236380.22</c:v>
                </c:pt>
                <c:pt idx="24">
                  <c:v>232921.90857142856</c:v>
                </c:pt>
                <c:pt idx="25">
                  <c:v>235412.62285714285</c:v>
                </c:pt>
                <c:pt idx="26">
                  <c:v>266999.05142857146</c:v>
                </c:pt>
                <c:pt idx="27">
                  <c:v>256997.05142857143</c:v>
                </c:pt>
                <c:pt idx="28">
                  <c:v>283865.33714285714</c:v>
                </c:pt>
                <c:pt idx="29">
                  <c:v>292197.48</c:v>
                </c:pt>
                <c:pt idx="30">
                  <c:v>253532.62285714288</c:v>
                </c:pt>
                <c:pt idx="31">
                  <c:v>227745.76571428569</c:v>
                </c:pt>
                <c:pt idx="32">
                  <c:v>300021.1942857143</c:v>
                </c:pt>
                <c:pt idx="33">
                  <c:v>273886.48000000004</c:v>
                </c:pt>
                <c:pt idx="34">
                  <c:v>291852.62285714282</c:v>
                </c:pt>
                <c:pt idx="35">
                  <c:v>241617.74</c:v>
                </c:pt>
                <c:pt idx="36">
                  <c:v>238159.42857142858</c:v>
                </c:pt>
                <c:pt idx="37">
                  <c:v>240650.14285714284</c:v>
                </c:pt>
                <c:pt idx="38">
                  <c:v>272236.57142857142</c:v>
                </c:pt>
                <c:pt idx="39">
                  <c:v>262234.57142857148</c:v>
                </c:pt>
                <c:pt idx="40">
                  <c:v>289102.8571428571</c:v>
                </c:pt>
                <c:pt idx="41">
                  <c:v>297435</c:v>
                </c:pt>
                <c:pt idx="42">
                  <c:v>258770.1428571429</c:v>
                </c:pt>
                <c:pt idx="43">
                  <c:v>232983.28571428571</c:v>
                </c:pt>
                <c:pt idx="44">
                  <c:v>305258.71428571432</c:v>
                </c:pt>
                <c:pt idx="45">
                  <c:v>279124</c:v>
                </c:pt>
                <c:pt idx="46">
                  <c:v>297090.14285714284</c:v>
                </c:pt>
                <c:pt idx="47">
                  <c:v>246855.26</c:v>
                </c:pt>
                <c:pt idx="48">
                  <c:v>243396.94857142854</c:v>
                </c:pt>
                <c:pt idx="49">
                  <c:v>245887.66285714286</c:v>
                </c:pt>
                <c:pt idx="50">
                  <c:v>277474.09142857144</c:v>
                </c:pt>
                <c:pt idx="51">
                  <c:v>267472.09142857138</c:v>
                </c:pt>
                <c:pt idx="52">
                  <c:v>294340.37714285712</c:v>
                </c:pt>
                <c:pt idx="53">
                  <c:v>302672.52</c:v>
                </c:pt>
                <c:pt idx="54">
                  <c:v>264007.66285714286</c:v>
                </c:pt>
                <c:pt idx="55">
                  <c:v>238220.80571428573</c:v>
                </c:pt>
                <c:pt idx="56">
                  <c:v>310496.23428571428</c:v>
                </c:pt>
                <c:pt idx="57">
                  <c:v>284361.52</c:v>
                </c:pt>
                <c:pt idx="58">
                  <c:v>302327.66285714286</c:v>
                </c:pt>
                <c:pt idx="59">
                  <c:v>252092.77999999997</c:v>
                </c:pt>
                <c:pt idx="60">
                  <c:v>248634.46857142856</c:v>
                </c:pt>
                <c:pt idx="61">
                  <c:v>251125.18285714288</c:v>
                </c:pt>
                <c:pt idx="62">
                  <c:v>282711.6114285714</c:v>
                </c:pt>
                <c:pt idx="63">
                  <c:v>272709.6114285714</c:v>
                </c:pt>
                <c:pt idx="64">
                  <c:v>299577.89714285714</c:v>
                </c:pt>
                <c:pt idx="65">
                  <c:v>307910.03999999998</c:v>
                </c:pt>
                <c:pt idx="66">
                  <c:v>269245.18285714288</c:v>
                </c:pt>
                <c:pt idx="67">
                  <c:v>243458.32571428575</c:v>
                </c:pt>
                <c:pt idx="68">
                  <c:v>315733.7542857143</c:v>
                </c:pt>
                <c:pt idx="69">
                  <c:v>289599.04000000004</c:v>
                </c:pt>
                <c:pt idx="70">
                  <c:v>307565.18285714282</c:v>
                </c:pt>
                <c:pt idx="71">
                  <c:v>257330.3</c:v>
                </c:pt>
                <c:pt idx="72">
                  <c:v>253871.98857142858</c:v>
                </c:pt>
                <c:pt idx="73">
                  <c:v>256362.70285714284</c:v>
                </c:pt>
                <c:pt idx="74">
                  <c:v>287949.13142857142</c:v>
                </c:pt>
                <c:pt idx="75">
                  <c:v>277947.13142857142</c:v>
                </c:pt>
                <c:pt idx="76">
                  <c:v>304815.4171428571</c:v>
                </c:pt>
                <c:pt idx="77">
                  <c:v>313147.56</c:v>
                </c:pt>
                <c:pt idx="78">
                  <c:v>274482.70285714284</c:v>
                </c:pt>
                <c:pt idx="79">
                  <c:v>248695.84571428571</c:v>
                </c:pt>
                <c:pt idx="80">
                  <c:v>320971.27428571432</c:v>
                </c:pt>
                <c:pt idx="81">
                  <c:v>294836.56</c:v>
                </c:pt>
                <c:pt idx="82">
                  <c:v>312802.70285714284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55-4048-91DF-33288B3C6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6272896"/>
        <c:axId val="1466269152"/>
      </c:scatterChart>
      <c:valAx>
        <c:axId val="1466272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269152"/>
        <c:crosses val="autoZero"/>
        <c:crossBetween val="midCat"/>
      </c:valAx>
      <c:valAx>
        <c:axId val="146626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272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0</xdr:row>
      <xdr:rowOff>0</xdr:rowOff>
    </xdr:from>
    <xdr:to>
      <xdr:col>40</xdr:col>
      <xdr:colOff>136524</xdr:colOff>
      <xdr:row>25</xdr:row>
      <xdr:rowOff>104775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0</xdr:row>
      <xdr:rowOff>133350</xdr:rowOff>
    </xdr:from>
    <xdr:to>
      <xdr:col>13</xdr:col>
      <xdr:colOff>133350</xdr:colOff>
      <xdr:row>21</xdr:row>
      <xdr:rowOff>5715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714375</xdr:colOff>
      <xdr:row>13</xdr:row>
      <xdr:rowOff>14287</xdr:rowOff>
    </xdr:from>
    <xdr:to>
      <xdr:col>23</xdr:col>
      <xdr:colOff>219075</xdr:colOff>
      <xdr:row>27</xdr:row>
      <xdr:rowOff>90487</xdr:rowOff>
    </xdr:to>
    <xdr:graphicFrame macro="">
      <xdr:nvGraphicFramePr>
        <xdr:cNvPr id="2" name="Diagramm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32</xdr:row>
      <xdr:rowOff>0</xdr:rowOff>
    </xdr:from>
    <xdr:to>
      <xdr:col>23</xdr:col>
      <xdr:colOff>304800</xdr:colOff>
      <xdr:row>46</xdr:row>
      <xdr:rowOff>76200</xdr:rowOff>
    </xdr:to>
    <xdr:graphicFrame macro="">
      <xdr:nvGraphicFramePr>
        <xdr:cNvPr id="3" name="Diagramm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304800</xdr:colOff>
      <xdr:row>3</xdr:row>
      <xdr:rowOff>176212</xdr:rowOff>
    </xdr:from>
    <xdr:to>
      <xdr:col>24</xdr:col>
      <xdr:colOff>409575</xdr:colOff>
      <xdr:row>18</xdr:row>
      <xdr:rowOff>61912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33"/>
  <sheetViews>
    <sheetView zoomScale="130" zoomScaleNormal="130" workbookViewId="0">
      <pane xSplit="1" ySplit="7" topLeftCell="B8" activePane="bottomRight" state="frozen"/>
      <selection pane="topRight"/>
      <selection pane="bottomLeft"/>
      <selection pane="bottomRight" activeCell="D8" sqref="D8"/>
    </sheetView>
  </sheetViews>
  <sheetFormatPr defaultColWidth="8.85546875" defaultRowHeight="15" x14ac:dyDescent="0.25"/>
  <cols>
    <col min="1" max="1" width="47.28515625" customWidth="1"/>
    <col min="2" max="2" width="16.5703125" customWidth="1"/>
    <col min="3" max="3" width="12.140625" customWidth="1"/>
    <col min="4" max="4" width="8.5703125" customWidth="1"/>
    <col min="5" max="5" width="10.28515625" customWidth="1"/>
    <col min="6" max="6" width="9.140625" customWidth="1"/>
    <col min="7" max="7" width="10.5703125" customWidth="1"/>
    <col min="9" max="9" width="14.28515625" customWidth="1"/>
    <col min="10" max="10" width="15.140625" customWidth="1"/>
    <col min="12" max="12" width="9.7109375" customWidth="1"/>
    <col min="13" max="13" width="9.85546875" customWidth="1"/>
    <col min="14" max="14" width="10.140625" customWidth="1"/>
    <col min="15" max="15" width="10.28515625" customWidth="1"/>
    <col min="16" max="16" width="13" customWidth="1"/>
    <col min="18" max="18" width="12.5703125" customWidth="1"/>
    <col min="19" max="19" width="9.28515625" customWidth="1"/>
    <col min="20" max="20" width="18.28515625" customWidth="1"/>
    <col min="21" max="21" width="11.5703125" customWidth="1"/>
    <col min="22" max="22" width="9.28515625" customWidth="1"/>
    <col min="23" max="23" width="19.5703125" customWidth="1"/>
    <col min="24" max="24" width="15.28515625" customWidth="1"/>
    <col min="25" max="25" width="12.42578125" customWidth="1"/>
    <col min="26" max="26" width="9.42578125" customWidth="1"/>
    <col min="27" max="27" width="15.85546875" customWidth="1"/>
    <col min="28" max="28" width="12.28515625" customWidth="1"/>
    <col min="29" max="29" width="11" customWidth="1"/>
  </cols>
  <sheetData>
    <row r="1" spans="1:29" hidden="1" x14ac:dyDescent="0.25">
      <c r="A1" s="62"/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</row>
    <row r="2" spans="1:29" ht="25.5" hidden="1" customHeight="1" x14ac:dyDescent="0.25">
      <c r="A2" s="64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</row>
    <row r="3" spans="1:29" hidden="1" x14ac:dyDescent="0.25">
      <c r="A3" s="65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</row>
    <row r="4" spans="1:29" hidden="1" x14ac:dyDescent="0.25">
      <c r="A4" s="65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</row>
    <row r="5" spans="1:29" ht="15.75" hidden="1" thickBot="1" x14ac:dyDescent="0.3">
      <c r="A5" s="65"/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</row>
    <row r="6" spans="1:29" ht="25.5" hidden="1" customHeight="1" x14ac:dyDescent="0.25">
      <c r="A6" s="10"/>
      <c r="B6" s="59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1"/>
    </row>
    <row r="7" spans="1:29" ht="8.25" hidden="1" customHeight="1" thickBot="1" x14ac:dyDescent="0.3">
      <c r="A7" s="11"/>
      <c r="B7" s="3"/>
    </row>
    <row r="8" spans="1:29" x14ac:dyDescent="0.25">
      <c r="A8" s="4"/>
    </row>
    <row r="9" spans="1:29" x14ac:dyDescent="0.25">
      <c r="A9" s="4" t="s">
        <v>38</v>
      </c>
      <c r="B9" s="6">
        <v>149</v>
      </c>
    </row>
    <row r="10" spans="1:29" x14ac:dyDescent="0.25">
      <c r="A10" s="4" t="s">
        <v>34</v>
      </c>
      <c r="B10" s="6">
        <v>5794</v>
      </c>
    </row>
    <row r="11" spans="1:29" x14ac:dyDescent="0.25">
      <c r="A11" s="9" t="s">
        <v>39</v>
      </c>
      <c r="B11" s="6">
        <v>848</v>
      </c>
    </row>
    <row r="12" spans="1:29" x14ac:dyDescent="0.25">
      <c r="A12" s="4" t="s">
        <v>40</v>
      </c>
      <c r="B12" s="6">
        <v>603</v>
      </c>
      <c r="D12" s="8"/>
      <c r="E12" s="8"/>
    </row>
    <row r="13" spans="1:29" x14ac:dyDescent="0.25">
      <c r="A13" s="4" t="s">
        <v>41</v>
      </c>
      <c r="B13" s="6">
        <v>0</v>
      </c>
      <c r="D13" s="8"/>
      <c r="E13" s="8"/>
    </row>
    <row r="14" spans="1:29" x14ac:dyDescent="0.25">
      <c r="A14" s="4" t="s">
        <v>42</v>
      </c>
      <c r="B14" s="6">
        <v>157</v>
      </c>
      <c r="D14" s="8"/>
      <c r="E14" s="8"/>
    </row>
    <row r="15" spans="1:29" x14ac:dyDescent="0.25">
      <c r="A15" s="4" t="s">
        <v>43</v>
      </c>
      <c r="B15" s="6">
        <v>0</v>
      </c>
      <c r="D15" s="8"/>
      <c r="E15" s="8"/>
    </row>
    <row r="16" spans="1:29" x14ac:dyDescent="0.25">
      <c r="A16" s="4" t="s">
        <v>44</v>
      </c>
      <c r="B16" s="6">
        <v>22</v>
      </c>
      <c r="D16" s="8"/>
      <c r="E16" s="8"/>
    </row>
    <row r="17" spans="1:7" x14ac:dyDescent="0.25">
      <c r="A17" s="4" t="s">
        <v>36</v>
      </c>
      <c r="B17" s="6">
        <v>1</v>
      </c>
      <c r="D17" s="8"/>
      <c r="E17" s="8"/>
    </row>
    <row r="18" spans="1:7" x14ac:dyDescent="0.25">
      <c r="A18" s="4" t="s">
        <v>45</v>
      </c>
      <c r="B18" s="6">
        <v>343</v>
      </c>
      <c r="D18" s="8"/>
      <c r="E18" s="8"/>
    </row>
    <row r="19" spans="1:7" x14ac:dyDescent="0.25">
      <c r="A19" s="4" t="s">
        <v>46</v>
      </c>
      <c r="B19" s="6">
        <v>15</v>
      </c>
      <c r="D19" s="8"/>
      <c r="E19" s="8"/>
    </row>
    <row r="20" spans="1:7" x14ac:dyDescent="0.25">
      <c r="A20" s="4" t="s">
        <v>47</v>
      </c>
      <c r="B20" s="6">
        <v>658</v>
      </c>
      <c r="D20" s="8"/>
      <c r="E20" s="8"/>
    </row>
    <row r="21" spans="1:7" x14ac:dyDescent="0.25">
      <c r="A21" s="4" t="s">
        <v>37</v>
      </c>
      <c r="B21" s="6">
        <v>366</v>
      </c>
    </row>
    <row r="22" spans="1:7" x14ac:dyDescent="0.25">
      <c r="A22" s="4" t="s">
        <v>48</v>
      </c>
      <c r="B22" s="6">
        <v>1</v>
      </c>
    </row>
    <row r="23" spans="1:7" x14ac:dyDescent="0.25">
      <c r="A23" s="4" t="s">
        <v>49</v>
      </c>
      <c r="B23" s="6">
        <v>1</v>
      </c>
    </row>
    <row r="24" spans="1:7" x14ac:dyDescent="0.25">
      <c r="A24" s="4" t="s">
        <v>50</v>
      </c>
      <c r="B24" s="6">
        <v>761</v>
      </c>
    </row>
    <row r="25" spans="1:7" x14ac:dyDescent="0.25">
      <c r="A25" s="4" t="s">
        <v>51</v>
      </c>
      <c r="B25" s="6">
        <v>0</v>
      </c>
    </row>
    <row r="26" spans="1:7" x14ac:dyDescent="0.25">
      <c r="A26" s="4" t="s">
        <v>52</v>
      </c>
      <c r="B26" s="6">
        <v>71</v>
      </c>
    </row>
    <row r="27" spans="1:7" ht="15.75" thickBot="1" x14ac:dyDescent="0.3">
      <c r="A27" s="4" t="s">
        <v>53</v>
      </c>
      <c r="B27" s="6">
        <v>13997</v>
      </c>
    </row>
    <row r="28" spans="1:7" x14ac:dyDescent="0.25">
      <c r="A28" s="4" t="s">
        <v>54</v>
      </c>
      <c r="B28" s="6">
        <v>0</v>
      </c>
      <c r="F28" s="16"/>
      <c r="G28" s="16"/>
    </row>
    <row r="29" spans="1:7" x14ac:dyDescent="0.25">
      <c r="A29" s="4" t="s">
        <v>55</v>
      </c>
      <c r="B29" s="6">
        <v>4</v>
      </c>
      <c r="F29" s="13"/>
      <c r="G29" s="14"/>
    </row>
    <row r="30" spans="1:7" x14ac:dyDescent="0.25">
      <c r="A30" s="4" t="s">
        <v>56</v>
      </c>
      <c r="B30" s="6">
        <v>2</v>
      </c>
      <c r="F30" s="13"/>
      <c r="G30" s="14"/>
    </row>
    <row r="31" spans="1:7" x14ac:dyDescent="0.25">
      <c r="A31" s="4" t="s">
        <v>57</v>
      </c>
      <c r="B31" s="6">
        <v>0</v>
      </c>
      <c r="F31" s="13"/>
      <c r="G31" s="14"/>
    </row>
    <row r="32" spans="1:7" x14ac:dyDescent="0.25">
      <c r="A32" s="4" t="s">
        <v>58</v>
      </c>
      <c r="B32" s="6">
        <v>0</v>
      </c>
      <c r="F32" s="13"/>
      <c r="G32" s="14"/>
    </row>
    <row r="33" spans="1:7" x14ac:dyDescent="0.25">
      <c r="A33" s="4" t="s">
        <v>59</v>
      </c>
      <c r="B33" s="6">
        <v>943</v>
      </c>
      <c r="F33" s="13"/>
      <c r="G33" s="14"/>
    </row>
    <row r="34" spans="1:7" x14ac:dyDescent="0.25">
      <c r="A34" s="4" t="s">
        <v>60</v>
      </c>
      <c r="B34" s="6">
        <v>0</v>
      </c>
      <c r="F34" s="13"/>
      <c r="G34" s="14"/>
    </row>
    <row r="35" spans="1:7" x14ac:dyDescent="0.25">
      <c r="A35" s="4" t="s">
        <v>61</v>
      </c>
      <c r="B35" s="6">
        <v>1699</v>
      </c>
      <c r="F35" s="13"/>
      <c r="G35" s="14"/>
    </row>
    <row r="36" spans="1:7" x14ac:dyDescent="0.25">
      <c r="A36" s="4" t="s">
        <v>62</v>
      </c>
      <c r="B36" s="6">
        <v>0</v>
      </c>
      <c r="F36" s="13"/>
      <c r="G36" s="14"/>
    </row>
    <row r="37" spans="1:7" ht="15.75" thickBot="1" x14ac:dyDescent="0.3">
      <c r="A37" s="4" t="s">
        <v>63</v>
      </c>
      <c r="B37" s="6">
        <v>0</v>
      </c>
      <c r="F37" s="15"/>
      <c r="G37" s="15"/>
    </row>
    <row r="38" spans="1:7" x14ac:dyDescent="0.25">
      <c r="A38" s="4" t="s">
        <v>64</v>
      </c>
      <c r="B38" s="6">
        <v>7005</v>
      </c>
    </row>
    <row r="39" spans="1:7" x14ac:dyDescent="0.25">
      <c r="A39" s="4" t="s">
        <v>65</v>
      </c>
      <c r="B39" s="6">
        <v>5</v>
      </c>
    </row>
    <row r="40" spans="1:7" x14ac:dyDescent="0.25">
      <c r="A40" s="4" t="s">
        <v>66</v>
      </c>
      <c r="B40" s="6">
        <v>0</v>
      </c>
    </row>
    <row r="41" spans="1:7" x14ac:dyDescent="0.25">
      <c r="A41" s="4" t="s">
        <v>67</v>
      </c>
      <c r="B41" s="6">
        <v>240</v>
      </c>
    </row>
    <row r="42" spans="1:7" x14ac:dyDescent="0.25">
      <c r="A42" s="4" t="s">
        <v>68</v>
      </c>
      <c r="B42" s="6">
        <v>0</v>
      </c>
    </row>
    <row r="43" spans="1:7" x14ac:dyDescent="0.25">
      <c r="A43" s="4" t="s">
        <v>69</v>
      </c>
      <c r="B43" s="6">
        <v>6977</v>
      </c>
    </row>
    <row r="44" spans="1:7" x14ac:dyDescent="0.25">
      <c r="A44" s="4" t="s">
        <v>70</v>
      </c>
      <c r="B44" s="6">
        <v>0</v>
      </c>
    </row>
    <row r="45" spans="1:7" x14ac:dyDescent="0.25">
      <c r="A45" s="4" t="s">
        <v>71</v>
      </c>
      <c r="B45" s="6">
        <v>1</v>
      </c>
    </row>
    <row r="46" spans="1:7" x14ac:dyDescent="0.25">
      <c r="A46" s="4" t="s">
        <v>72</v>
      </c>
      <c r="B46" s="6">
        <v>18994</v>
      </c>
    </row>
    <row r="47" spans="1:7" x14ac:dyDescent="0.25">
      <c r="A47" s="4" t="s">
        <v>3</v>
      </c>
      <c r="B47" s="6">
        <v>295178</v>
      </c>
    </row>
    <row r="48" spans="1:7" x14ac:dyDescent="0.25">
      <c r="A48" s="4" t="s">
        <v>73</v>
      </c>
      <c r="B48" s="6">
        <v>0</v>
      </c>
    </row>
    <row r="49" spans="1:2" x14ac:dyDescent="0.25">
      <c r="A49" s="4" t="s">
        <v>74</v>
      </c>
      <c r="B49" s="6">
        <v>1375</v>
      </c>
    </row>
    <row r="50" spans="1:2" x14ac:dyDescent="0.25">
      <c r="A50" s="4" t="s">
        <v>75</v>
      </c>
      <c r="B50" s="6">
        <v>7</v>
      </c>
    </row>
    <row r="51" spans="1:2" x14ac:dyDescent="0.25">
      <c r="A51" s="4" t="s">
        <v>76</v>
      </c>
      <c r="B51" s="6">
        <v>0</v>
      </c>
    </row>
    <row r="52" spans="1:2" x14ac:dyDescent="0.25">
      <c r="A52" s="4" t="s">
        <v>77</v>
      </c>
      <c r="B52" s="6">
        <v>0</v>
      </c>
    </row>
    <row r="53" spans="1:2" x14ac:dyDescent="0.25">
      <c r="A53" s="4" t="s">
        <v>78</v>
      </c>
      <c r="B53" s="6">
        <v>0</v>
      </c>
    </row>
    <row r="54" spans="1:2" x14ac:dyDescent="0.25">
      <c r="A54" s="4" t="s">
        <v>79</v>
      </c>
      <c r="B54" s="6">
        <v>2013</v>
      </c>
    </row>
    <row r="55" spans="1:2" x14ac:dyDescent="0.25">
      <c r="A55" s="4" t="s">
        <v>81</v>
      </c>
      <c r="B55" s="6">
        <v>0</v>
      </c>
    </row>
    <row r="56" spans="1:2" x14ac:dyDescent="0.25">
      <c r="A56" s="4" t="s">
        <v>80</v>
      </c>
      <c r="B56" s="6">
        <v>3</v>
      </c>
    </row>
    <row r="57" spans="1:2" x14ac:dyDescent="0.25">
      <c r="A57" s="4" t="s">
        <v>82</v>
      </c>
      <c r="B57" s="6">
        <v>0</v>
      </c>
    </row>
    <row r="58" spans="1:2" x14ac:dyDescent="0.25">
      <c r="A58" s="4" t="s">
        <v>83</v>
      </c>
      <c r="B58" s="6">
        <v>7384</v>
      </c>
    </row>
    <row r="59" spans="1:2" x14ac:dyDescent="0.25">
      <c r="A59" s="4" t="s">
        <v>84</v>
      </c>
      <c r="B59" s="6">
        <v>44535</v>
      </c>
    </row>
    <row r="60" spans="1:2" x14ac:dyDescent="0.25">
      <c r="A60" s="4" t="s">
        <v>85</v>
      </c>
      <c r="B60" s="6">
        <v>0</v>
      </c>
    </row>
    <row r="61" spans="1:2" x14ac:dyDescent="0.25">
      <c r="A61" s="4" t="s">
        <v>86</v>
      </c>
      <c r="B61" s="6">
        <v>1</v>
      </c>
    </row>
    <row r="62" spans="1:2" x14ac:dyDescent="0.25">
      <c r="A62" s="4" t="s">
        <v>87</v>
      </c>
      <c r="B62" s="6">
        <v>24</v>
      </c>
    </row>
    <row r="63" spans="1:2" x14ac:dyDescent="0.25">
      <c r="A63" s="4" t="s">
        <v>88</v>
      </c>
      <c r="B63" s="6">
        <v>1</v>
      </c>
    </row>
    <row r="64" spans="1:2" x14ac:dyDescent="0.25">
      <c r="A64" s="4" t="s">
        <v>89</v>
      </c>
      <c r="B64" s="6">
        <v>445</v>
      </c>
    </row>
    <row r="65" spans="1:2" x14ac:dyDescent="0.25">
      <c r="A65" s="4" t="s">
        <v>90</v>
      </c>
      <c r="B65" s="6">
        <v>4</v>
      </c>
    </row>
    <row r="66" spans="1:2" x14ac:dyDescent="0.25">
      <c r="A66" s="4" t="s">
        <v>91</v>
      </c>
      <c r="B66" s="6">
        <v>4</v>
      </c>
    </row>
    <row r="67" spans="1:2" x14ac:dyDescent="0.25">
      <c r="A67" s="4" t="s">
        <v>92</v>
      </c>
      <c r="B67" s="6">
        <v>23</v>
      </c>
    </row>
    <row r="68" spans="1:2" x14ac:dyDescent="0.25">
      <c r="A68" s="4" t="s">
        <v>93</v>
      </c>
      <c r="B68" s="6">
        <v>10202</v>
      </c>
    </row>
    <row r="69" spans="1:2" x14ac:dyDescent="0.25">
      <c r="A69" s="4" t="s">
        <v>94</v>
      </c>
      <c r="B69" s="6">
        <v>9743</v>
      </c>
    </row>
    <row r="70" spans="1:2" x14ac:dyDescent="0.25">
      <c r="A70" s="4" t="s">
        <v>95</v>
      </c>
      <c r="B70" s="6">
        <v>7</v>
      </c>
    </row>
    <row r="71" spans="1:2" x14ac:dyDescent="0.25">
      <c r="A71" s="4" t="s">
        <v>96</v>
      </c>
      <c r="B71" s="6">
        <v>3</v>
      </c>
    </row>
    <row r="72" spans="1:2" x14ac:dyDescent="0.25">
      <c r="A72" s="4" t="s">
        <v>97</v>
      </c>
      <c r="B72" s="6">
        <v>0</v>
      </c>
    </row>
    <row r="73" spans="1:2" x14ac:dyDescent="0.25">
      <c r="A73" s="4" t="s">
        <v>98</v>
      </c>
      <c r="B73" s="6">
        <v>0</v>
      </c>
    </row>
    <row r="74" spans="1:2" x14ac:dyDescent="0.25">
      <c r="A74" s="4" t="s">
        <v>99</v>
      </c>
      <c r="B74" s="6">
        <v>1</v>
      </c>
    </row>
    <row r="75" spans="1:2" x14ac:dyDescent="0.25">
      <c r="A75" s="4" t="s">
        <v>100</v>
      </c>
      <c r="B75" s="6">
        <v>0</v>
      </c>
    </row>
    <row r="76" spans="1:2" x14ac:dyDescent="0.25">
      <c r="A76" s="4" t="s">
        <v>101</v>
      </c>
      <c r="B76" s="6">
        <v>0</v>
      </c>
    </row>
    <row r="77" spans="1:2" x14ac:dyDescent="0.25">
      <c r="A77" s="4" t="s">
        <v>102</v>
      </c>
      <c r="B77" s="6">
        <v>2</v>
      </c>
    </row>
    <row r="78" spans="1:2" x14ac:dyDescent="0.25">
      <c r="A78" s="4" t="s">
        <v>103</v>
      </c>
      <c r="B78" s="6">
        <v>0</v>
      </c>
    </row>
    <row r="79" spans="1:2" x14ac:dyDescent="0.25">
      <c r="A79" s="4" t="s">
        <v>104</v>
      </c>
      <c r="B79" s="6">
        <v>1836</v>
      </c>
    </row>
    <row r="80" spans="1:2" x14ac:dyDescent="0.25">
      <c r="A80" s="4" t="s">
        <v>105</v>
      </c>
      <c r="B80" s="6">
        <v>3323</v>
      </c>
    </row>
    <row r="81" spans="1:2" x14ac:dyDescent="0.25">
      <c r="A81" s="4" t="s">
        <v>106</v>
      </c>
      <c r="B81" s="6">
        <v>1</v>
      </c>
    </row>
    <row r="82" spans="1:2" x14ac:dyDescent="0.25">
      <c r="A82" s="4" t="s">
        <v>107</v>
      </c>
      <c r="B82" s="6">
        <v>612</v>
      </c>
    </row>
    <row r="83" spans="1:2" x14ac:dyDescent="0.25">
      <c r="A83" s="4" t="s">
        <v>108</v>
      </c>
      <c r="B83" s="6">
        <v>1111</v>
      </c>
    </row>
    <row r="84" spans="1:2" x14ac:dyDescent="0.25">
      <c r="A84" s="4" t="s">
        <v>109</v>
      </c>
      <c r="B84" s="6">
        <v>7196</v>
      </c>
    </row>
    <row r="85" spans="1:2" x14ac:dyDescent="0.25">
      <c r="A85" s="4" t="s">
        <v>110</v>
      </c>
      <c r="B85" s="6">
        <v>2245</v>
      </c>
    </row>
    <row r="86" spans="1:2" x14ac:dyDescent="0.25">
      <c r="A86" s="4" t="s">
        <v>111</v>
      </c>
      <c r="B86" s="6">
        <v>4573</v>
      </c>
    </row>
    <row r="87" spans="1:2" x14ac:dyDescent="0.25">
      <c r="A87" s="4" t="s">
        <v>112</v>
      </c>
      <c r="B87" s="6">
        <v>67681</v>
      </c>
    </row>
    <row r="88" spans="1:2" x14ac:dyDescent="0.25">
      <c r="A88" s="4" t="s">
        <v>113</v>
      </c>
      <c r="B88" s="6">
        <v>155</v>
      </c>
    </row>
    <row r="89" spans="1:2" x14ac:dyDescent="0.25">
      <c r="A89" s="4" t="s">
        <v>114</v>
      </c>
      <c r="B89" s="6">
        <v>3378</v>
      </c>
    </row>
    <row r="90" spans="1:2" x14ac:dyDescent="0.25">
      <c r="A90" s="4" t="s">
        <v>115</v>
      </c>
      <c r="B90" s="6">
        <v>0</v>
      </c>
    </row>
    <row r="91" spans="1:2" x14ac:dyDescent="0.25">
      <c r="A91" s="4" t="s">
        <v>116</v>
      </c>
      <c r="B91" s="6">
        <v>983</v>
      </c>
    </row>
    <row r="92" spans="1:2" x14ac:dyDescent="0.25">
      <c r="A92" s="4" t="s">
        <v>117</v>
      </c>
      <c r="B92" s="6">
        <v>0</v>
      </c>
    </row>
    <row r="93" spans="1:2" x14ac:dyDescent="0.25">
      <c r="A93" s="4" t="s">
        <v>118</v>
      </c>
      <c r="B93" s="6">
        <v>1</v>
      </c>
    </row>
    <row r="94" spans="1:2" x14ac:dyDescent="0.25">
      <c r="A94" s="4" t="s">
        <v>119</v>
      </c>
      <c r="B94" s="6">
        <v>7</v>
      </c>
    </row>
    <row r="95" spans="1:2" x14ac:dyDescent="0.25">
      <c r="A95" s="4" t="s">
        <v>120</v>
      </c>
      <c r="B95" s="6">
        <v>3990</v>
      </c>
    </row>
    <row r="96" spans="1:2" x14ac:dyDescent="0.25">
      <c r="A96" s="4" t="s">
        <v>121</v>
      </c>
      <c r="B96" s="6">
        <v>938</v>
      </c>
    </row>
    <row r="97" spans="1:2" x14ac:dyDescent="0.25">
      <c r="A97" s="4" t="s">
        <v>122</v>
      </c>
      <c r="B97" s="6">
        <v>2256</v>
      </c>
    </row>
    <row r="98" spans="1:2" x14ac:dyDescent="0.25">
      <c r="A98" s="4" t="s">
        <v>123</v>
      </c>
      <c r="B98" s="6">
        <v>424</v>
      </c>
    </row>
    <row r="99" spans="1:2" x14ac:dyDescent="0.25">
      <c r="A99" s="4" t="s">
        <v>124</v>
      </c>
      <c r="B99" s="6">
        <v>2</v>
      </c>
    </row>
    <row r="100" spans="1:2" x14ac:dyDescent="0.25">
      <c r="A100" s="4" t="s">
        <v>125</v>
      </c>
      <c r="B100" s="6">
        <v>0</v>
      </c>
    </row>
    <row r="101" spans="1:2" x14ac:dyDescent="0.25">
      <c r="A101" s="4" t="s">
        <v>126</v>
      </c>
      <c r="B101" s="6">
        <v>342</v>
      </c>
    </row>
    <row r="102" spans="1:2" x14ac:dyDescent="0.25">
      <c r="A102" s="4" t="s">
        <v>127</v>
      </c>
      <c r="B102" s="6">
        <v>0</v>
      </c>
    </row>
    <row r="103" spans="1:2" x14ac:dyDescent="0.25">
      <c r="A103" s="4" t="s">
        <v>128</v>
      </c>
      <c r="B103" s="6">
        <v>5</v>
      </c>
    </row>
    <row r="104" spans="1:2" x14ac:dyDescent="0.25">
      <c r="A104" s="4" t="s">
        <v>129</v>
      </c>
      <c r="B104" s="6">
        <v>1</v>
      </c>
    </row>
    <row r="105" spans="1:2" x14ac:dyDescent="0.25">
      <c r="A105" s="4" t="s">
        <v>130</v>
      </c>
      <c r="B105" s="6">
        <v>0</v>
      </c>
    </row>
    <row r="106" spans="1:2" x14ac:dyDescent="0.25">
      <c r="A106" s="4" t="s">
        <v>131</v>
      </c>
      <c r="B106" s="6">
        <v>2272</v>
      </c>
    </row>
    <row r="107" spans="1:2" x14ac:dyDescent="0.25">
      <c r="A107" s="4" t="s">
        <v>132</v>
      </c>
      <c r="B107" s="6">
        <v>2009</v>
      </c>
    </row>
    <row r="108" spans="1:2" x14ac:dyDescent="0.25">
      <c r="A108" s="4" t="s">
        <v>133</v>
      </c>
      <c r="B108" s="6">
        <v>8276</v>
      </c>
    </row>
    <row r="109" spans="1:2" x14ac:dyDescent="0.25">
      <c r="A109" s="4" t="s">
        <v>134</v>
      </c>
      <c r="B109" s="6">
        <v>940</v>
      </c>
    </row>
    <row r="110" spans="1:2" x14ac:dyDescent="0.25">
      <c r="A110" s="4" t="s">
        <v>135</v>
      </c>
      <c r="B110" s="6">
        <v>853</v>
      </c>
    </row>
    <row r="111" spans="1:2" x14ac:dyDescent="0.25">
      <c r="A111" s="4" t="s">
        <v>136</v>
      </c>
      <c r="B111" s="6">
        <v>0</v>
      </c>
    </row>
    <row r="112" spans="1:2" x14ac:dyDescent="0.25">
      <c r="A112" s="4" t="s">
        <v>137</v>
      </c>
      <c r="B112" s="6">
        <v>0</v>
      </c>
    </row>
    <row r="113" spans="1:2" x14ac:dyDescent="0.25">
      <c r="A113" s="4" t="s">
        <v>138</v>
      </c>
      <c r="B113" s="6">
        <v>3944</v>
      </c>
    </row>
    <row r="114" spans="1:2" x14ac:dyDescent="0.25">
      <c r="A114" s="4" t="s">
        <v>139</v>
      </c>
      <c r="B114" s="6">
        <v>1327</v>
      </c>
    </row>
    <row r="115" spans="1:2" x14ac:dyDescent="0.25">
      <c r="A115" s="4" t="s">
        <v>140</v>
      </c>
      <c r="B115" s="6">
        <v>0</v>
      </c>
    </row>
    <row r="116" spans="1:2" x14ac:dyDescent="0.25">
      <c r="A116" s="4" t="s">
        <v>141</v>
      </c>
      <c r="B116" s="6">
        <v>15</v>
      </c>
    </row>
    <row r="117" spans="1:2" x14ac:dyDescent="0.25">
      <c r="A117" s="4" t="s">
        <v>142</v>
      </c>
      <c r="B117" s="6">
        <v>1896</v>
      </c>
    </row>
    <row r="118" spans="1:2" x14ac:dyDescent="0.25">
      <c r="A118" s="4" t="s">
        <v>143</v>
      </c>
      <c r="B118" s="6">
        <v>5341</v>
      </c>
    </row>
    <row r="119" spans="1:2" x14ac:dyDescent="0.25">
      <c r="A119" s="4" t="s">
        <v>144</v>
      </c>
      <c r="B119" s="6">
        <v>0</v>
      </c>
    </row>
    <row r="120" spans="1:2" x14ac:dyDescent="0.25">
      <c r="A120" s="4" t="s">
        <v>145</v>
      </c>
      <c r="B120" s="6">
        <v>0</v>
      </c>
    </row>
    <row r="121" spans="1:2" x14ac:dyDescent="0.25">
      <c r="A121" s="4" t="s">
        <v>146</v>
      </c>
      <c r="B121" s="6">
        <v>1</v>
      </c>
    </row>
    <row r="122" spans="1:2" x14ac:dyDescent="0.25">
      <c r="A122" s="4" t="s">
        <v>147</v>
      </c>
      <c r="B122" s="6">
        <v>41</v>
      </c>
    </row>
    <row r="123" spans="1:2" x14ac:dyDescent="0.25">
      <c r="A123" s="4" t="s">
        <v>148</v>
      </c>
      <c r="B123" s="6">
        <v>154</v>
      </c>
    </row>
    <row r="124" spans="1:2" x14ac:dyDescent="0.25">
      <c r="A124" s="4" t="s">
        <v>149</v>
      </c>
      <c r="B124" s="6">
        <v>70</v>
      </c>
    </row>
    <row r="125" spans="1:2" x14ac:dyDescent="0.25">
      <c r="A125" s="4" t="s">
        <v>150</v>
      </c>
      <c r="B125" s="6">
        <v>2340</v>
      </c>
    </row>
    <row r="126" spans="1:2" x14ac:dyDescent="0.25">
      <c r="A126" s="4" t="s">
        <v>151</v>
      </c>
      <c r="B126" s="6">
        <v>0</v>
      </c>
    </row>
    <row r="127" spans="1:2" x14ac:dyDescent="0.25">
      <c r="A127" s="4" t="s">
        <v>152</v>
      </c>
      <c r="B127" s="6">
        <v>2998</v>
      </c>
    </row>
    <row r="128" spans="1:2" x14ac:dyDescent="0.25">
      <c r="A128" s="4" t="s">
        <v>153</v>
      </c>
      <c r="B128" s="6">
        <v>27</v>
      </c>
    </row>
    <row r="129" spans="1:2" x14ac:dyDescent="0.25">
      <c r="A129" s="4" t="s">
        <v>154</v>
      </c>
      <c r="B129" s="6">
        <v>0</v>
      </c>
    </row>
    <row r="130" spans="1:2" x14ac:dyDescent="0.25">
      <c r="A130" s="4" t="s">
        <v>155</v>
      </c>
      <c r="B130" s="6">
        <v>295</v>
      </c>
    </row>
    <row r="131" spans="1:2" x14ac:dyDescent="0.25">
      <c r="A131" s="4" t="s">
        <v>156</v>
      </c>
      <c r="B131" s="6">
        <v>1047</v>
      </c>
    </row>
    <row r="132" spans="1:2" x14ac:dyDescent="0.25">
      <c r="A132" s="4" t="s">
        <v>157</v>
      </c>
      <c r="B132" s="6">
        <v>1319</v>
      </c>
    </row>
    <row r="133" spans="1:2" x14ac:dyDescent="0.25">
      <c r="A133" s="4" t="s">
        <v>158</v>
      </c>
      <c r="B133" s="6">
        <v>612</v>
      </c>
    </row>
    <row r="134" spans="1:2" x14ac:dyDescent="0.25">
      <c r="A134" s="4" t="s">
        <v>159</v>
      </c>
      <c r="B134" s="6">
        <v>0</v>
      </c>
    </row>
    <row r="135" spans="1:2" x14ac:dyDescent="0.25">
      <c r="A135" s="4" t="s">
        <v>160</v>
      </c>
      <c r="B135" s="6">
        <v>21</v>
      </c>
    </row>
    <row r="136" spans="1:2" x14ac:dyDescent="0.25">
      <c r="A136" s="4" t="s">
        <v>161</v>
      </c>
      <c r="B136" s="6">
        <v>329</v>
      </c>
    </row>
    <row r="137" spans="1:2" x14ac:dyDescent="0.25">
      <c r="A137" s="4" t="s">
        <v>162</v>
      </c>
      <c r="B137" s="6">
        <v>0</v>
      </c>
    </row>
    <row r="138" spans="1:2" x14ac:dyDescent="0.25">
      <c r="A138" s="4" t="s">
        <v>163</v>
      </c>
      <c r="B138" s="6">
        <v>0</v>
      </c>
    </row>
    <row r="139" spans="1:2" x14ac:dyDescent="0.25">
      <c r="A139" s="4" t="s">
        <v>164</v>
      </c>
      <c r="B139" s="6">
        <v>454</v>
      </c>
    </row>
    <row r="140" spans="1:2" x14ac:dyDescent="0.25">
      <c r="A140" s="4" t="s">
        <v>165</v>
      </c>
      <c r="B140" s="6">
        <v>0</v>
      </c>
    </row>
    <row r="141" spans="1:2" x14ac:dyDescent="0.25">
      <c r="A141" s="4" t="s">
        <v>166</v>
      </c>
      <c r="B141" s="6">
        <v>0</v>
      </c>
    </row>
    <row r="142" spans="1:2" x14ac:dyDescent="0.25">
      <c r="A142" s="4" t="s">
        <v>167</v>
      </c>
      <c r="B142" s="6">
        <v>0</v>
      </c>
    </row>
    <row r="143" spans="1:2" x14ac:dyDescent="0.25">
      <c r="A143" s="4" t="s">
        <v>168</v>
      </c>
      <c r="B143" s="6">
        <v>0</v>
      </c>
    </row>
    <row r="144" spans="1:2" x14ac:dyDescent="0.25">
      <c r="A144" s="4" t="s">
        <v>170</v>
      </c>
      <c r="B144" s="6">
        <v>24186</v>
      </c>
    </row>
    <row r="145" spans="1:2" x14ac:dyDescent="0.25">
      <c r="A145" s="4" t="s">
        <v>169</v>
      </c>
      <c r="B145" s="6">
        <v>83</v>
      </c>
    </row>
    <row r="146" spans="1:2" x14ac:dyDescent="0.25">
      <c r="A146" s="4" t="s">
        <v>171</v>
      </c>
      <c r="B146" s="6">
        <v>2</v>
      </c>
    </row>
    <row r="147" spans="1:2" x14ac:dyDescent="0.25">
      <c r="A147" s="4" t="s">
        <v>172</v>
      </c>
      <c r="B147" s="6">
        <v>693</v>
      </c>
    </row>
    <row r="148" spans="1:2" x14ac:dyDescent="0.25">
      <c r="A148" s="4" t="s">
        <v>173</v>
      </c>
      <c r="B148" s="6">
        <v>6425</v>
      </c>
    </row>
    <row r="149" spans="1:2" x14ac:dyDescent="0.25">
      <c r="A149" s="4" t="s">
        <v>175</v>
      </c>
      <c r="B149" s="6">
        <v>757</v>
      </c>
    </row>
    <row r="150" spans="1:2" x14ac:dyDescent="0.25">
      <c r="A150" s="4" t="s">
        <v>174</v>
      </c>
      <c r="B150" s="6">
        <v>36669</v>
      </c>
    </row>
    <row r="151" spans="1:2" x14ac:dyDescent="0.25">
      <c r="A151" s="4" t="s">
        <v>176</v>
      </c>
      <c r="B151" s="6">
        <v>5</v>
      </c>
    </row>
    <row r="152" spans="1:2" x14ac:dyDescent="0.25">
      <c r="A152" s="4" t="s">
        <v>177</v>
      </c>
      <c r="B152" s="6">
        <v>0</v>
      </c>
    </row>
    <row r="153" spans="1:2" x14ac:dyDescent="0.25">
      <c r="A153" s="4" t="s">
        <v>178</v>
      </c>
      <c r="B153" s="6">
        <v>216</v>
      </c>
    </row>
    <row r="154" spans="1:2" x14ac:dyDescent="0.25">
      <c r="A154" s="4" t="s">
        <v>179</v>
      </c>
      <c r="B154" s="6">
        <v>0</v>
      </c>
    </row>
    <row r="155" spans="1:2" x14ac:dyDescent="0.25">
      <c r="A155" s="4" t="s">
        <v>180</v>
      </c>
      <c r="B155" s="6">
        <v>3</v>
      </c>
    </row>
    <row r="156" spans="1:2" x14ac:dyDescent="0.25">
      <c r="A156" s="4" t="s">
        <v>181</v>
      </c>
      <c r="B156" s="6">
        <v>0</v>
      </c>
    </row>
    <row r="157" spans="1:2" x14ac:dyDescent="0.25">
      <c r="A157" s="4" t="s">
        <v>182</v>
      </c>
      <c r="B157" s="6">
        <v>0</v>
      </c>
    </row>
    <row r="158" spans="1:2" x14ac:dyDescent="0.25">
      <c r="A158" s="4" t="s">
        <v>183</v>
      </c>
      <c r="B158" s="6">
        <v>25045</v>
      </c>
    </row>
    <row r="159" spans="1:2" x14ac:dyDescent="0.25">
      <c r="A159" s="4" t="s">
        <v>184</v>
      </c>
      <c r="B159" s="6">
        <v>14574</v>
      </c>
    </row>
    <row r="160" spans="1:2" x14ac:dyDescent="0.25">
      <c r="A160" s="4" t="s">
        <v>185</v>
      </c>
      <c r="B160" s="6">
        <v>45</v>
      </c>
    </row>
    <row r="161" spans="1:2" x14ac:dyDescent="0.25">
      <c r="A161" s="4" t="s">
        <v>186</v>
      </c>
      <c r="B161" s="6">
        <v>0</v>
      </c>
    </row>
    <row r="162" spans="1:2" x14ac:dyDescent="0.25">
      <c r="A162" s="4" t="s">
        <v>187</v>
      </c>
      <c r="B162" s="6">
        <v>1</v>
      </c>
    </row>
    <row r="163" spans="1:2" x14ac:dyDescent="0.25">
      <c r="A163" s="4" t="s">
        <v>188</v>
      </c>
      <c r="B163" s="6">
        <v>10736</v>
      </c>
    </row>
    <row r="164" spans="1:2" x14ac:dyDescent="0.25">
      <c r="A164" s="4" t="s">
        <v>189</v>
      </c>
      <c r="B164" s="6">
        <v>191</v>
      </c>
    </row>
    <row r="165" spans="1:2" x14ac:dyDescent="0.25">
      <c r="A165" s="4" t="s">
        <v>190</v>
      </c>
      <c r="B165" s="6">
        <v>16726</v>
      </c>
    </row>
    <row r="166" spans="1:2" x14ac:dyDescent="0.25">
      <c r="A166" s="4" t="s">
        <v>191</v>
      </c>
      <c r="B166" s="6">
        <v>0</v>
      </c>
    </row>
    <row r="167" spans="1:2" x14ac:dyDescent="0.25">
      <c r="A167" s="4" t="s">
        <v>192</v>
      </c>
      <c r="B167" s="6">
        <v>1</v>
      </c>
    </row>
    <row r="168" spans="1:2" x14ac:dyDescent="0.25">
      <c r="A168" s="4" t="s">
        <v>193</v>
      </c>
      <c r="B168" s="6">
        <v>0</v>
      </c>
    </row>
    <row r="169" spans="1:2" x14ac:dyDescent="0.25">
      <c r="A169" s="4" t="s">
        <v>194</v>
      </c>
      <c r="B169" s="6">
        <v>0</v>
      </c>
    </row>
    <row r="170" spans="1:2" x14ac:dyDescent="0.25">
      <c r="A170" s="4" t="s">
        <v>195</v>
      </c>
      <c r="B170" s="6">
        <v>2180</v>
      </c>
    </row>
    <row r="171" spans="1:2" x14ac:dyDescent="0.25">
      <c r="A171" s="4" t="s">
        <v>196</v>
      </c>
      <c r="B171" s="6">
        <v>17090</v>
      </c>
    </row>
    <row r="172" spans="1:2" x14ac:dyDescent="0.25">
      <c r="A172" s="4" t="s">
        <v>197</v>
      </c>
      <c r="B172" s="6">
        <v>40509</v>
      </c>
    </row>
    <row r="173" spans="1:2" x14ac:dyDescent="0.25">
      <c r="A173" s="4" t="s">
        <v>198</v>
      </c>
      <c r="B173" s="6">
        <v>272</v>
      </c>
    </row>
    <row r="174" spans="1:2" x14ac:dyDescent="0.25">
      <c r="A174" s="4" t="s">
        <v>199</v>
      </c>
      <c r="B174" s="6">
        <v>3721</v>
      </c>
    </row>
    <row r="175" spans="1:2" x14ac:dyDescent="0.25">
      <c r="A175" s="4" t="s">
        <v>200</v>
      </c>
      <c r="B175" s="6">
        <v>69</v>
      </c>
    </row>
    <row r="176" spans="1:2" x14ac:dyDescent="0.25">
      <c r="A176" s="4" t="s">
        <v>201</v>
      </c>
      <c r="B176" s="6">
        <v>6</v>
      </c>
    </row>
    <row r="177" spans="1:2" x14ac:dyDescent="0.25">
      <c r="A177" s="4" t="s">
        <v>202</v>
      </c>
      <c r="B177" s="6">
        <v>0</v>
      </c>
    </row>
    <row r="178" spans="1:2" x14ac:dyDescent="0.25">
      <c r="A178" s="4" t="s">
        <v>203</v>
      </c>
      <c r="B178" s="6">
        <v>1526</v>
      </c>
    </row>
    <row r="179" spans="1:2" x14ac:dyDescent="0.25">
      <c r="A179" s="4" t="s">
        <v>204</v>
      </c>
      <c r="B179" s="6">
        <v>792</v>
      </c>
    </row>
    <row r="180" spans="1:2" x14ac:dyDescent="0.25">
      <c r="A180" s="4" t="s">
        <v>205</v>
      </c>
      <c r="B180" s="6">
        <v>2342</v>
      </c>
    </row>
    <row r="181" spans="1:2" x14ac:dyDescent="0.25">
      <c r="A181" s="4" t="s">
        <v>206</v>
      </c>
      <c r="B181" s="6">
        <v>0</v>
      </c>
    </row>
    <row r="182" spans="1:2" x14ac:dyDescent="0.25">
      <c r="A182" s="4" t="s">
        <v>207</v>
      </c>
      <c r="B182" s="6">
        <v>30788</v>
      </c>
    </row>
    <row r="183" spans="1:2" x14ac:dyDescent="0.25">
      <c r="A183" s="4" t="s">
        <v>208</v>
      </c>
      <c r="B183" s="6">
        <v>39920</v>
      </c>
    </row>
    <row r="184" spans="1:2" x14ac:dyDescent="0.25">
      <c r="A184" s="4" t="s">
        <v>209</v>
      </c>
      <c r="B184" s="6">
        <v>18143</v>
      </c>
    </row>
    <row r="185" spans="1:2" x14ac:dyDescent="0.25">
      <c r="A185" s="4" t="s">
        <v>210</v>
      </c>
      <c r="B185" s="6">
        <v>191</v>
      </c>
    </row>
    <row r="186" spans="1:2" x14ac:dyDescent="0.25">
      <c r="A186" s="4" t="s">
        <v>211</v>
      </c>
      <c r="B186" s="6">
        <v>0</v>
      </c>
    </row>
    <row r="187" spans="1:2" x14ac:dyDescent="0.25">
      <c r="A187" s="4" t="s">
        <v>212</v>
      </c>
      <c r="B187" s="6">
        <v>9</v>
      </c>
    </row>
    <row r="188" spans="1:2" x14ac:dyDescent="0.25">
      <c r="A188" s="4" t="s">
        <v>213</v>
      </c>
      <c r="B188" s="6">
        <v>2</v>
      </c>
    </row>
    <row r="189" spans="1:2" x14ac:dyDescent="0.25">
      <c r="A189" s="4" t="s">
        <v>214</v>
      </c>
      <c r="B189" s="6">
        <v>0</v>
      </c>
    </row>
    <row r="190" spans="1:2" x14ac:dyDescent="0.25">
      <c r="A190" s="4" t="s">
        <v>216</v>
      </c>
      <c r="B190" s="6">
        <v>1381</v>
      </c>
    </row>
    <row r="191" spans="1:2" x14ac:dyDescent="0.25">
      <c r="A191" s="4" t="s">
        <v>215</v>
      </c>
      <c r="B191" s="6">
        <v>1</v>
      </c>
    </row>
    <row r="192" spans="1:2" x14ac:dyDescent="0.25">
      <c r="A192" s="4" t="s">
        <v>217</v>
      </c>
      <c r="B192" s="6">
        <v>0</v>
      </c>
    </row>
    <row r="193" spans="1:2" x14ac:dyDescent="0.25">
      <c r="A193" s="4" t="s">
        <v>218</v>
      </c>
      <c r="B193" s="6">
        <v>0</v>
      </c>
    </row>
    <row r="194" spans="1:2" x14ac:dyDescent="0.25">
      <c r="A194" s="4" t="s">
        <v>219</v>
      </c>
      <c r="B194" s="6">
        <v>0</v>
      </c>
    </row>
    <row r="195" spans="1:2" x14ac:dyDescent="0.25">
      <c r="A195" s="4" t="s">
        <v>220</v>
      </c>
      <c r="B195" s="6">
        <v>53</v>
      </c>
    </row>
    <row r="196" spans="1:2" x14ac:dyDescent="0.25">
      <c r="A196" s="4" t="s">
        <v>221</v>
      </c>
      <c r="B196" s="6">
        <v>365</v>
      </c>
    </row>
    <row r="197" spans="1:2" x14ac:dyDescent="0.25">
      <c r="A197" s="4" t="s">
        <v>222</v>
      </c>
      <c r="B197" s="6">
        <v>82</v>
      </c>
    </row>
    <row r="198" spans="1:2" x14ac:dyDescent="0.25">
      <c r="A198" s="4" t="s">
        <v>223</v>
      </c>
      <c r="B198" s="6">
        <v>1999</v>
      </c>
    </row>
    <row r="199" spans="1:2" x14ac:dyDescent="0.25">
      <c r="A199" s="4" t="s">
        <v>224</v>
      </c>
      <c r="B199" s="6">
        <v>0</v>
      </c>
    </row>
    <row r="200" spans="1:2" x14ac:dyDescent="0.25">
      <c r="A200" s="4" t="s">
        <v>225</v>
      </c>
      <c r="B200" s="6">
        <v>1</v>
      </c>
    </row>
    <row r="201" spans="1:2" x14ac:dyDescent="0.25">
      <c r="A201" s="4" t="s">
        <v>226</v>
      </c>
      <c r="B201" s="6">
        <v>0</v>
      </c>
    </row>
    <row r="202" spans="1:2" x14ac:dyDescent="0.25">
      <c r="A202" s="4" t="s">
        <v>227</v>
      </c>
      <c r="B202" s="6">
        <v>56</v>
      </c>
    </row>
    <row r="203" spans="1:2" x14ac:dyDescent="0.25">
      <c r="A203" s="4" t="s">
        <v>228</v>
      </c>
      <c r="B203" s="6">
        <v>0</v>
      </c>
    </row>
    <row r="204" spans="1:2" x14ac:dyDescent="0.25">
      <c r="A204" s="4" t="s">
        <v>229</v>
      </c>
      <c r="B204" s="6">
        <v>8451</v>
      </c>
    </row>
    <row r="205" spans="1:2" x14ac:dyDescent="0.25">
      <c r="A205" s="4" t="s">
        <v>231</v>
      </c>
      <c r="B205" s="6">
        <v>2259</v>
      </c>
    </row>
    <row r="206" spans="1:2" x14ac:dyDescent="0.25">
      <c r="A206" s="4" t="s">
        <v>230</v>
      </c>
      <c r="B206" s="6">
        <v>46434</v>
      </c>
    </row>
    <row r="207" spans="1:2" x14ac:dyDescent="0.25">
      <c r="A207" s="4" t="s">
        <v>232</v>
      </c>
      <c r="B207" s="6">
        <v>90</v>
      </c>
    </row>
    <row r="208" spans="1:2" x14ac:dyDescent="0.25">
      <c r="A208" s="4" t="s">
        <v>233</v>
      </c>
      <c r="B208" s="6">
        <v>0</v>
      </c>
    </row>
    <row r="209" spans="1:2" x14ac:dyDescent="0.25">
      <c r="A209" s="4" t="s">
        <v>234</v>
      </c>
      <c r="B209" s="6">
        <v>0</v>
      </c>
    </row>
    <row r="210" spans="1:2" x14ac:dyDescent="0.25">
      <c r="A210" s="4" t="s">
        <v>235</v>
      </c>
      <c r="B210" s="6">
        <v>4</v>
      </c>
    </row>
    <row r="211" spans="1:2" x14ac:dyDescent="0.25">
      <c r="A211" s="4" t="s">
        <v>236</v>
      </c>
      <c r="B211" s="6">
        <v>3683</v>
      </c>
    </row>
    <row r="212" spans="1:2" x14ac:dyDescent="0.25">
      <c r="A212" s="4" t="s">
        <v>237</v>
      </c>
      <c r="B212" s="6">
        <v>7762</v>
      </c>
    </row>
    <row r="213" spans="1:2" x14ac:dyDescent="0.25">
      <c r="A213" s="4" t="s">
        <v>238</v>
      </c>
      <c r="B213" s="6">
        <v>0</v>
      </c>
    </row>
    <row r="214" spans="1:2" x14ac:dyDescent="0.25">
      <c r="A214" s="4" t="s">
        <v>239</v>
      </c>
      <c r="B214" s="6">
        <v>284</v>
      </c>
    </row>
    <row r="215" spans="1:2" x14ac:dyDescent="0.25">
      <c r="A215" s="4" t="s">
        <v>240</v>
      </c>
      <c r="B215" s="6">
        <v>0</v>
      </c>
    </row>
    <row r="216" spans="1:2" x14ac:dyDescent="0.25">
      <c r="A216" s="4" t="s">
        <v>241</v>
      </c>
      <c r="B216" s="6">
        <v>74</v>
      </c>
    </row>
    <row r="217" spans="1:2" x14ac:dyDescent="0.25">
      <c r="A217" s="4" t="s">
        <v>242</v>
      </c>
      <c r="B217" s="6">
        <v>8655</v>
      </c>
    </row>
    <row r="218" spans="1:2" x14ac:dyDescent="0.25">
      <c r="A218" s="4" t="s">
        <v>243</v>
      </c>
      <c r="B218" s="6">
        <v>64</v>
      </c>
    </row>
    <row r="219" spans="1:2" x14ac:dyDescent="0.25">
      <c r="A219" s="4" t="s">
        <v>244</v>
      </c>
      <c r="B219" s="6">
        <v>0</v>
      </c>
    </row>
    <row r="220" spans="1:2" x14ac:dyDescent="0.25">
      <c r="A220" s="4" t="s">
        <v>245</v>
      </c>
      <c r="B220" s="6">
        <v>3154</v>
      </c>
    </row>
    <row r="221" spans="1:2" x14ac:dyDescent="0.25">
      <c r="A221" s="4" t="s">
        <v>246</v>
      </c>
      <c r="B221" s="6">
        <v>1831</v>
      </c>
    </row>
    <row r="222" spans="1:2" x14ac:dyDescent="0.25">
      <c r="A222" s="4" t="s">
        <v>247</v>
      </c>
      <c r="B222" s="6">
        <v>11303</v>
      </c>
    </row>
    <row r="223" spans="1:2" x14ac:dyDescent="0.25">
      <c r="A223" s="4" t="s">
        <v>248</v>
      </c>
      <c r="B223" s="6">
        <v>584</v>
      </c>
    </row>
    <row r="224" spans="1:2" x14ac:dyDescent="0.25">
      <c r="A224" s="4" t="s">
        <v>249</v>
      </c>
      <c r="B224" s="6">
        <v>5324</v>
      </c>
    </row>
    <row r="225" spans="1:2" x14ac:dyDescent="0.25">
      <c r="A225" s="4" t="s">
        <v>250</v>
      </c>
      <c r="B225" s="6">
        <v>3247</v>
      </c>
    </row>
    <row r="226" spans="1:2" x14ac:dyDescent="0.25">
      <c r="A226" s="4" t="s">
        <v>251</v>
      </c>
      <c r="B226" s="6">
        <v>71731</v>
      </c>
    </row>
    <row r="227" spans="1:2" x14ac:dyDescent="0.25">
      <c r="A227" s="4" t="s">
        <v>252</v>
      </c>
      <c r="B227" s="6">
        <v>412</v>
      </c>
    </row>
    <row r="228" spans="1:2" x14ac:dyDescent="0.25">
      <c r="A228" s="4" t="s">
        <v>253</v>
      </c>
      <c r="B228" s="6">
        <v>1078</v>
      </c>
    </row>
    <row r="229" spans="1:2" x14ac:dyDescent="0.25">
      <c r="A229" s="12" t="s">
        <v>254</v>
      </c>
      <c r="B229" s="6">
        <v>0</v>
      </c>
    </row>
    <row r="230" spans="1:2" x14ac:dyDescent="0.25">
      <c r="A230" s="12" t="s">
        <v>255</v>
      </c>
      <c r="B230" s="6">
        <v>945</v>
      </c>
    </row>
    <row r="232" spans="1:2" x14ac:dyDescent="0.25">
      <c r="A232" s="4" t="s">
        <v>256</v>
      </c>
    </row>
    <row r="233" spans="1:2" x14ac:dyDescent="0.25">
      <c r="A233" s="9" t="s">
        <v>257</v>
      </c>
    </row>
  </sheetData>
  <sortState ref="F29:F36">
    <sortCondition ref="F29"/>
  </sortState>
  <mergeCells count="6">
    <mergeCell ref="B6:AC6"/>
    <mergeCell ref="A1:AC1"/>
    <mergeCell ref="A2:AC2"/>
    <mergeCell ref="A3:AC3"/>
    <mergeCell ref="A4:AC4"/>
    <mergeCell ref="A5:A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"/>
  <sheetViews>
    <sheetView workbookViewId="0">
      <pane xSplit="1" ySplit="7" topLeftCell="B8" activePane="bottomRight" state="frozen"/>
      <selection pane="topRight"/>
      <selection pane="bottomLeft"/>
      <selection pane="bottomRight" activeCell="B10" sqref="B10"/>
    </sheetView>
  </sheetViews>
  <sheetFormatPr defaultColWidth="8.85546875" defaultRowHeight="15" x14ac:dyDescent="0.25"/>
  <cols>
    <col min="1" max="1" width="47.28515625" customWidth="1"/>
    <col min="2" max="2" width="16.5703125" customWidth="1"/>
    <col min="3" max="3" width="12.140625" customWidth="1"/>
    <col min="4" max="4" width="8.5703125" customWidth="1"/>
    <col min="5" max="5" width="10.28515625" customWidth="1"/>
    <col min="6" max="6" width="9.140625" customWidth="1"/>
    <col min="7" max="7" width="10.5703125" customWidth="1"/>
    <col min="9" max="9" width="14.28515625" customWidth="1"/>
    <col min="10" max="10" width="15.140625" customWidth="1"/>
    <col min="12" max="12" width="9.7109375" customWidth="1"/>
    <col min="13" max="13" width="9.85546875" customWidth="1"/>
    <col min="14" max="14" width="10.140625" customWidth="1"/>
    <col min="15" max="15" width="10.28515625" customWidth="1"/>
    <col min="16" max="16" width="13" customWidth="1"/>
    <col min="18" max="18" width="12.5703125" customWidth="1"/>
    <col min="19" max="19" width="9.28515625" customWidth="1"/>
    <col min="20" max="20" width="18.28515625" customWidth="1"/>
    <col min="21" max="21" width="11.5703125" customWidth="1"/>
    <col min="22" max="22" width="9.28515625" customWidth="1"/>
    <col min="23" max="23" width="19.5703125" customWidth="1"/>
    <col min="24" max="24" width="15.28515625" customWidth="1"/>
    <col min="25" max="25" width="12.42578125" customWidth="1"/>
    <col min="26" max="26" width="9.42578125" customWidth="1"/>
    <col min="27" max="27" width="15.85546875" customWidth="1"/>
    <col min="28" max="28" width="12.28515625" customWidth="1"/>
    <col min="29" max="29" width="11" customWidth="1"/>
  </cols>
  <sheetData>
    <row r="1" spans="1:29" x14ac:dyDescent="0.25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</row>
    <row r="2" spans="1:29" ht="25.5" customHeight="1" x14ac:dyDescent="0.25">
      <c r="A2" s="64" t="s">
        <v>1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</row>
    <row r="3" spans="1:29" x14ac:dyDescent="0.25">
      <c r="A3" s="65" t="s">
        <v>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</row>
    <row r="4" spans="1:29" x14ac:dyDescent="0.25">
      <c r="A4" s="65" t="s">
        <v>3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</row>
    <row r="5" spans="1:29" ht="15.75" thickBot="1" x14ac:dyDescent="0.3">
      <c r="A5" s="65" t="s">
        <v>4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</row>
    <row r="6" spans="1:29" ht="25.5" customHeight="1" thickBot="1" x14ac:dyDescent="0.3">
      <c r="A6" s="66" t="s">
        <v>5</v>
      </c>
      <c r="B6" s="59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1"/>
    </row>
    <row r="7" spans="1:29" ht="25.5" customHeight="1" thickBot="1" x14ac:dyDescent="0.3">
      <c r="A7" s="67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3"/>
    </row>
    <row r="8" spans="1:29" x14ac:dyDescent="0.25">
      <c r="A8" s="9" t="s">
        <v>258</v>
      </c>
    </row>
    <row r="9" spans="1:29" ht="15.75" thickBot="1" x14ac:dyDescent="0.3">
      <c r="A9" s="2" t="s">
        <v>6</v>
      </c>
      <c r="B9">
        <v>44735</v>
      </c>
    </row>
    <row r="10" spans="1:29" ht="15.75" thickBot="1" x14ac:dyDescent="0.3">
      <c r="A10" s="2" t="s">
        <v>7</v>
      </c>
      <c r="B10">
        <v>90203</v>
      </c>
    </row>
    <row r="11" spans="1:29" ht="15.75" thickBot="1" x14ac:dyDescent="0.3">
      <c r="A11" s="2" t="s">
        <v>8</v>
      </c>
      <c r="B11">
        <v>16164</v>
      </c>
    </row>
    <row r="12" spans="1:29" ht="15.75" thickBot="1" x14ac:dyDescent="0.3">
      <c r="A12" s="2" t="s">
        <v>9</v>
      </c>
      <c r="B12">
        <v>9437</v>
      </c>
    </row>
    <row r="13" spans="1:29" ht="15.75" thickBot="1" x14ac:dyDescent="0.3">
      <c r="A13" s="2" t="s">
        <v>10</v>
      </c>
      <c r="B13">
        <v>10852</v>
      </c>
    </row>
    <row r="14" spans="1:29" ht="15.75" thickBot="1" x14ac:dyDescent="0.3">
      <c r="A14" s="2" t="s">
        <v>11</v>
      </c>
      <c r="B14">
        <v>105672</v>
      </c>
    </row>
    <row r="15" spans="1:29" ht="15.75" thickBot="1" x14ac:dyDescent="0.3">
      <c r="A15" s="2" t="s">
        <v>12</v>
      </c>
      <c r="B15">
        <v>3317</v>
      </c>
    </row>
    <row r="16" spans="1:29" ht="15.75" thickBot="1" x14ac:dyDescent="0.3">
      <c r="A16" s="2" t="s">
        <v>13</v>
      </c>
      <c r="B16">
        <v>228246</v>
      </c>
    </row>
    <row r="17" spans="1:2" ht="15.75" thickBot="1" x14ac:dyDescent="0.3">
      <c r="A17" s="2" t="s">
        <v>14</v>
      </c>
      <c r="B17">
        <v>3697</v>
      </c>
    </row>
    <row r="18" spans="1:2" ht="15.75" thickBot="1" x14ac:dyDescent="0.3">
      <c r="A18" s="2" t="s">
        <v>15</v>
      </c>
      <c r="B18">
        <v>9366</v>
      </c>
    </row>
    <row r="19" spans="1:2" ht="15.75" thickBot="1" x14ac:dyDescent="0.3">
      <c r="A19" s="2" t="s">
        <v>16</v>
      </c>
      <c r="B19">
        <v>72710</v>
      </c>
    </row>
    <row r="20" spans="1:2" ht="15.75" thickBot="1" x14ac:dyDescent="0.3">
      <c r="A20" s="2" t="s">
        <v>17</v>
      </c>
      <c r="B20">
        <v>34186</v>
      </c>
    </row>
    <row r="21" spans="1:2" ht="15.75" thickBot="1" x14ac:dyDescent="0.3">
      <c r="A21" s="2" t="s">
        <v>18</v>
      </c>
      <c r="B21">
        <v>9155</v>
      </c>
    </row>
    <row r="22" spans="1:2" ht="15.75" thickBot="1" x14ac:dyDescent="0.3">
      <c r="A22" s="2" t="s">
        <v>19</v>
      </c>
      <c r="B22">
        <v>61772</v>
      </c>
    </row>
    <row r="23" spans="1:2" ht="15.75" thickBot="1" x14ac:dyDescent="0.3">
      <c r="A23" s="2" t="s">
        <v>20</v>
      </c>
      <c r="B23">
        <v>29650</v>
      </c>
    </row>
    <row r="24" spans="1:2" ht="15.75" thickBot="1" x14ac:dyDescent="0.3">
      <c r="A24" s="2" t="s">
        <v>21</v>
      </c>
      <c r="B24">
        <v>0</v>
      </c>
    </row>
    <row r="25" spans="1:2" ht="15.75" thickBot="1" x14ac:dyDescent="0.3">
      <c r="A25" s="2" t="s">
        <v>22</v>
      </c>
      <c r="B25">
        <v>4880</v>
      </c>
    </row>
    <row r="26" spans="1:2" ht="15.75" thickBot="1" x14ac:dyDescent="0.3">
      <c r="A26" s="2" t="s">
        <v>23</v>
      </c>
      <c r="B26">
        <v>192571</v>
      </c>
    </row>
    <row r="27" spans="1:2" ht="15.75" thickBot="1" x14ac:dyDescent="0.3">
      <c r="A27" s="2" t="s">
        <v>24</v>
      </c>
      <c r="B27">
        <v>9381</v>
      </c>
    </row>
    <row r="28" spans="1:2" ht="15.75" thickBot="1" x14ac:dyDescent="0.3">
      <c r="A28" s="2" t="s">
        <v>25</v>
      </c>
      <c r="B28">
        <v>6390</v>
      </c>
    </row>
    <row r="29" spans="1:2" ht="15.75" thickBot="1" x14ac:dyDescent="0.3">
      <c r="A29" s="2" t="s">
        <v>26</v>
      </c>
      <c r="B29">
        <v>20778</v>
      </c>
    </row>
    <row r="30" spans="1:2" ht="15.75" thickBot="1" x14ac:dyDescent="0.3">
      <c r="A30" s="2" t="s">
        <v>27</v>
      </c>
      <c r="B30">
        <v>9346</v>
      </c>
    </row>
    <row r="31" spans="1:2" ht="15.75" thickBot="1" x14ac:dyDescent="0.3">
      <c r="A31" s="2" t="s">
        <v>28</v>
      </c>
      <c r="B31">
        <v>3523</v>
      </c>
    </row>
    <row r="32" spans="1:2" ht="15.75" thickBot="1" x14ac:dyDescent="0.3">
      <c r="A32" s="2" t="s">
        <v>29</v>
      </c>
      <c r="B32">
        <v>4516</v>
      </c>
    </row>
    <row r="33" spans="1:2" ht="15.75" thickBot="1" x14ac:dyDescent="0.3">
      <c r="A33" s="2" t="s">
        <v>30</v>
      </c>
      <c r="B33">
        <v>58986</v>
      </c>
    </row>
    <row r="34" spans="1:2" ht="15.75" thickBot="1" x14ac:dyDescent="0.3">
      <c r="A34" s="2" t="s">
        <v>31</v>
      </c>
      <c r="B34">
        <v>3945</v>
      </c>
    </row>
    <row r="35" spans="1:2" ht="15.75" thickBot="1" x14ac:dyDescent="0.3">
      <c r="A35" s="2" t="s">
        <v>32</v>
      </c>
      <c r="B35">
        <v>0</v>
      </c>
    </row>
    <row r="36" spans="1:2" ht="15.75" thickBot="1" x14ac:dyDescent="0.3">
      <c r="A36" s="3" t="s">
        <v>33</v>
      </c>
      <c r="B36">
        <v>1043478</v>
      </c>
    </row>
  </sheetData>
  <mergeCells count="7">
    <mergeCell ref="A6:A7"/>
    <mergeCell ref="B6:AC6"/>
    <mergeCell ref="A1:AC1"/>
    <mergeCell ref="A2:AC2"/>
    <mergeCell ref="A3:AC3"/>
    <mergeCell ref="A4:AC4"/>
    <mergeCell ref="A5:A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33"/>
  <sheetViews>
    <sheetView workbookViewId="0">
      <pane xSplit="1" ySplit="7" topLeftCell="B9" activePane="bottomRight" state="frozen"/>
      <selection pane="topRight"/>
      <selection pane="bottomLeft"/>
      <selection pane="bottomRight" activeCell="AO2" sqref="AO2"/>
    </sheetView>
  </sheetViews>
  <sheetFormatPr defaultColWidth="8.85546875" defaultRowHeight="15" x14ac:dyDescent="0.25"/>
  <cols>
    <col min="1" max="1" width="47.28515625" customWidth="1"/>
    <col min="2" max="2" width="16.5703125" customWidth="1"/>
    <col min="3" max="3" width="12.140625" hidden="1" customWidth="1"/>
    <col min="4" max="4" width="8.5703125" hidden="1" customWidth="1"/>
    <col min="5" max="5" width="10.28515625" hidden="1" customWidth="1"/>
    <col min="6" max="6" width="9.140625" hidden="1" customWidth="1"/>
    <col min="7" max="7" width="10.5703125" hidden="1" customWidth="1"/>
    <col min="8" max="8" width="0" hidden="1" customWidth="1"/>
    <col min="9" max="9" width="14.28515625" hidden="1" customWidth="1"/>
    <col min="10" max="10" width="15.140625" hidden="1" customWidth="1"/>
    <col min="11" max="11" width="0" hidden="1" customWidth="1"/>
    <col min="12" max="12" width="9.7109375" hidden="1" customWidth="1"/>
    <col min="13" max="13" width="9.85546875" hidden="1" customWidth="1"/>
    <col min="14" max="14" width="10.140625" hidden="1" customWidth="1"/>
    <col min="15" max="15" width="10.28515625" hidden="1" customWidth="1"/>
    <col min="16" max="16" width="13" hidden="1" customWidth="1"/>
    <col min="17" max="17" width="0" hidden="1" customWidth="1"/>
    <col min="18" max="18" width="12.5703125" hidden="1" customWidth="1"/>
    <col min="19" max="19" width="9.28515625" hidden="1" customWidth="1"/>
    <col min="20" max="20" width="18.28515625" hidden="1" customWidth="1"/>
    <col min="21" max="21" width="11.5703125" hidden="1" customWidth="1"/>
    <col min="22" max="22" width="9.28515625" hidden="1" customWidth="1"/>
    <col min="23" max="23" width="19.5703125" hidden="1" customWidth="1"/>
    <col min="24" max="24" width="15.28515625" hidden="1" customWidth="1"/>
    <col min="25" max="25" width="12.42578125" hidden="1" customWidth="1"/>
    <col min="26" max="26" width="9.42578125" hidden="1" customWidth="1"/>
    <col min="27" max="27" width="15.85546875" hidden="1" customWidth="1"/>
    <col min="28" max="28" width="12.28515625" hidden="1" customWidth="1"/>
    <col min="29" max="29" width="11" customWidth="1"/>
  </cols>
  <sheetData>
    <row r="1" spans="1:29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 spans="1:29" ht="25.5" customHeight="1" x14ac:dyDescent="0.25">
      <c r="A2" s="24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</row>
    <row r="3" spans="1:29" x14ac:dyDescent="0.25">
      <c r="A3" s="25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25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25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ht="25.5" customHeight="1" x14ac:dyDescent="0.25">
      <c r="A6" s="66" t="s">
        <v>259</v>
      </c>
      <c r="B6" s="20" t="s">
        <v>260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1"/>
    </row>
    <row r="7" spans="1:29" ht="25.5" customHeight="1" x14ac:dyDescent="0.25">
      <c r="A7" s="67"/>
      <c r="B7" s="68" t="s">
        <v>306</v>
      </c>
      <c r="C7" s="68" t="s">
        <v>307</v>
      </c>
      <c r="D7" s="68" t="s">
        <v>308</v>
      </c>
      <c r="E7" s="68" t="s">
        <v>309</v>
      </c>
      <c r="F7" s="68" t="s">
        <v>310</v>
      </c>
      <c r="G7" s="68" t="s">
        <v>311</v>
      </c>
      <c r="H7" s="68" t="s">
        <v>312</v>
      </c>
      <c r="I7" s="68" t="s">
        <v>261</v>
      </c>
      <c r="J7" s="68" t="s">
        <v>313</v>
      </c>
      <c r="K7" s="68" t="s">
        <v>314</v>
      </c>
      <c r="L7" s="68" t="s">
        <v>315</v>
      </c>
      <c r="M7" s="68" t="s">
        <v>316</v>
      </c>
      <c r="N7" s="68" t="s">
        <v>317</v>
      </c>
      <c r="O7" s="68" t="s">
        <v>318</v>
      </c>
      <c r="P7" s="68" t="s">
        <v>319</v>
      </c>
      <c r="Q7" s="68" t="s">
        <v>320</v>
      </c>
      <c r="R7" s="68" t="s">
        <v>321</v>
      </c>
      <c r="S7" s="68" t="s">
        <v>322</v>
      </c>
      <c r="T7" s="68" t="s">
        <v>323</v>
      </c>
      <c r="U7" s="68" t="s">
        <v>324</v>
      </c>
      <c r="V7" s="68" t="s">
        <v>325</v>
      </c>
      <c r="W7" s="68" t="s">
        <v>326</v>
      </c>
      <c r="X7" s="68" t="s">
        <v>327</v>
      </c>
      <c r="Y7" s="68" t="s">
        <v>328</v>
      </c>
      <c r="Z7" s="68" t="s">
        <v>329</v>
      </c>
      <c r="AA7" s="68" t="s">
        <v>330</v>
      </c>
      <c r="AB7" s="68" t="s">
        <v>331</v>
      </c>
      <c r="AC7" s="69" t="s">
        <v>33</v>
      </c>
    </row>
    <row r="8" spans="1:29" hidden="1" x14ac:dyDescent="0.25">
      <c r="A8" s="9" t="s">
        <v>258</v>
      </c>
      <c r="B8">
        <f>SUM(B9:B230)</f>
        <v>44735</v>
      </c>
      <c r="C8">
        <f t="shared" ref="C8:AC8" si="0">SUM(C9:C230)</f>
        <v>90203</v>
      </c>
      <c r="D8">
        <f t="shared" si="0"/>
        <v>16164</v>
      </c>
      <c r="E8">
        <f t="shared" si="0"/>
        <v>9437</v>
      </c>
      <c r="F8">
        <f t="shared" si="0"/>
        <v>10852</v>
      </c>
      <c r="G8">
        <f t="shared" si="0"/>
        <v>105672</v>
      </c>
      <c r="H8">
        <f t="shared" si="0"/>
        <v>3317</v>
      </c>
      <c r="I8">
        <f t="shared" si="0"/>
        <v>228246</v>
      </c>
      <c r="J8">
        <f t="shared" si="0"/>
        <v>3697</v>
      </c>
      <c r="K8">
        <f t="shared" si="0"/>
        <v>9366</v>
      </c>
      <c r="L8">
        <f t="shared" si="0"/>
        <v>72710</v>
      </c>
      <c r="M8">
        <f t="shared" si="0"/>
        <v>34186</v>
      </c>
      <c r="N8">
        <f t="shared" si="0"/>
        <v>9155</v>
      </c>
      <c r="O8">
        <f t="shared" si="0"/>
        <v>61772</v>
      </c>
      <c r="P8">
        <f t="shared" si="0"/>
        <v>29650</v>
      </c>
      <c r="Q8">
        <f t="shared" si="0"/>
        <v>0</v>
      </c>
      <c r="R8">
        <f t="shared" si="0"/>
        <v>4880</v>
      </c>
      <c r="S8">
        <f t="shared" si="0"/>
        <v>192571</v>
      </c>
      <c r="T8">
        <f t="shared" si="0"/>
        <v>9381</v>
      </c>
      <c r="U8">
        <f t="shared" si="0"/>
        <v>6390</v>
      </c>
      <c r="V8">
        <f t="shared" si="0"/>
        <v>20778</v>
      </c>
      <c r="W8">
        <f t="shared" si="0"/>
        <v>9346</v>
      </c>
      <c r="X8">
        <f t="shared" si="0"/>
        <v>3523</v>
      </c>
      <c r="Y8">
        <f t="shared" si="0"/>
        <v>4516</v>
      </c>
      <c r="Z8">
        <f t="shared" si="0"/>
        <v>58986</v>
      </c>
      <c r="AA8">
        <f t="shared" si="0"/>
        <v>3945</v>
      </c>
      <c r="AB8">
        <f t="shared" si="0"/>
        <v>0</v>
      </c>
      <c r="AC8">
        <f t="shared" si="0"/>
        <v>1043478</v>
      </c>
    </row>
    <row r="9" spans="1:29" x14ac:dyDescent="0.25">
      <c r="A9" s="4" t="s">
        <v>34</v>
      </c>
      <c r="B9" s="5">
        <v>275</v>
      </c>
      <c r="C9" s="5">
        <v>140</v>
      </c>
      <c r="D9" s="5">
        <v>61</v>
      </c>
      <c r="E9" s="6">
        <v>0</v>
      </c>
      <c r="F9" s="5">
        <v>76</v>
      </c>
      <c r="G9" s="5">
        <v>693</v>
      </c>
      <c r="H9" s="5">
        <v>67</v>
      </c>
      <c r="I9" s="5">
        <v>1608</v>
      </c>
      <c r="J9" s="5">
        <v>11</v>
      </c>
      <c r="K9" s="5">
        <v>4</v>
      </c>
      <c r="L9" s="5">
        <v>156</v>
      </c>
      <c r="M9" s="5">
        <v>361</v>
      </c>
      <c r="N9" s="5">
        <v>3</v>
      </c>
      <c r="O9" s="5">
        <v>328</v>
      </c>
      <c r="P9" s="5">
        <v>370</v>
      </c>
      <c r="Q9" s="6">
        <v>0</v>
      </c>
      <c r="R9" s="6">
        <v>0</v>
      </c>
      <c r="S9" s="5">
        <v>1159</v>
      </c>
      <c r="T9" s="5">
        <v>7</v>
      </c>
      <c r="U9" s="6">
        <v>0</v>
      </c>
      <c r="V9" s="5">
        <v>183</v>
      </c>
      <c r="W9" s="5">
        <v>2</v>
      </c>
      <c r="X9" s="5">
        <v>24</v>
      </c>
      <c r="Y9" s="5">
        <v>1</v>
      </c>
      <c r="Z9" s="5">
        <v>265</v>
      </c>
      <c r="AA9" s="6">
        <v>0</v>
      </c>
      <c r="AB9" s="6">
        <v>0</v>
      </c>
      <c r="AC9" s="5">
        <v>5794</v>
      </c>
    </row>
    <row r="10" spans="1:29" x14ac:dyDescent="0.25">
      <c r="A10" s="4" t="s">
        <v>36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5">
        <v>1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5">
        <v>1</v>
      </c>
    </row>
    <row r="11" spans="1:29" x14ac:dyDescent="0.25">
      <c r="A11" s="4" t="s">
        <v>37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5">
        <v>366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5">
        <v>366</v>
      </c>
    </row>
    <row r="12" spans="1:29" x14ac:dyDescent="0.25">
      <c r="A12" s="4" t="s">
        <v>38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5">
        <v>1</v>
      </c>
      <c r="J12" s="6">
        <v>0</v>
      </c>
      <c r="K12" s="5">
        <v>104</v>
      </c>
      <c r="L12" s="6">
        <v>0</v>
      </c>
      <c r="M12" s="6">
        <v>0</v>
      </c>
      <c r="N12" s="6">
        <v>0</v>
      </c>
      <c r="O12" s="6">
        <v>0</v>
      </c>
      <c r="P12" s="5">
        <v>43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5">
        <v>1</v>
      </c>
      <c r="AA12" s="6">
        <v>0</v>
      </c>
      <c r="AB12" s="6">
        <v>0</v>
      </c>
      <c r="AC12" s="5">
        <v>149</v>
      </c>
    </row>
    <row r="13" spans="1:29" x14ac:dyDescent="0.25">
      <c r="A13" s="4" t="s">
        <v>39</v>
      </c>
      <c r="B13" s="5">
        <v>2</v>
      </c>
      <c r="C13" s="5">
        <v>1</v>
      </c>
      <c r="D13" s="6">
        <v>0</v>
      </c>
      <c r="E13" s="6">
        <v>0</v>
      </c>
      <c r="F13" s="6">
        <v>0</v>
      </c>
      <c r="G13" s="5">
        <v>19</v>
      </c>
      <c r="H13" s="6">
        <v>0</v>
      </c>
      <c r="I13" s="5">
        <v>465</v>
      </c>
      <c r="J13" s="6">
        <v>0</v>
      </c>
      <c r="K13" s="6">
        <v>0</v>
      </c>
      <c r="L13" s="5">
        <v>8</v>
      </c>
      <c r="M13" s="5">
        <v>15</v>
      </c>
      <c r="N13" s="5">
        <v>11</v>
      </c>
      <c r="O13" s="5">
        <v>44</v>
      </c>
      <c r="P13" s="5">
        <v>12</v>
      </c>
      <c r="Q13" s="6">
        <v>0</v>
      </c>
      <c r="R13" s="6">
        <v>0</v>
      </c>
      <c r="S13" s="5">
        <v>238</v>
      </c>
      <c r="T13" s="6">
        <v>0</v>
      </c>
      <c r="U13" s="5">
        <v>1</v>
      </c>
      <c r="V13" s="5">
        <v>7</v>
      </c>
      <c r="W13" s="5">
        <v>8</v>
      </c>
      <c r="X13" s="5">
        <v>2</v>
      </c>
      <c r="Y13" s="6">
        <v>0</v>
      </c>
      <c r="Z13" s="5">
        <v>15</v>
      </c>
      <c r="AA13" s="6">
        <v>0</v>
      </c>
      <c r="AB13" s="6">
        <v>0</v>
      </c>
      <c r="AC13" s="5">
        <v>848</v>
      </c>
    </row>
    <row r="14" spans="1:29" x14ac:dyDescent="0.25">
      <c r="A14" s="4" t="s">
        <v>40</v>
      </c>
      <c r="B14" s="5">
        <v>1</v>
      </c>
      <c r="C14" s="6">
        <v>0</v>
      </c>
      <c r="D14" s="5">
        <v>1</v>
      </c>
      <c r="E14" s="6">
        <v>0</v>
      </c>
      <c r="F14" s="6">
        <v>0</v>
      </c>
      <c r="G14" s="5">
        <v>4</v>
      </c>
      <c r="H14" s="6">
        <v>0</v>
      </c>
      <c r="I14" s="5">
        <v>534</v>
      </c>
      <c r="J14" s="6">
        <v>0</v>
      </c>
      <c r="K14" s="6">
        <v>0</v>
      </c>
      <c r="L14" s="6">
        <v>0</v>
      </c>
      <c r="M14" s="6">
        <v>0</v>
      </c>
      <c r="N14" s="5">
        <v>2</v>
      </c>
      <c r="O14" s="5">
        <v>1</v>
      </c>
      <c r="P14" s="5">
        <v>23</v>
      </c>
      <c r="Q14" s="6">
        <v>0</v>
      </c>
      <c r="R14" s="6">
        <v>0</v>
      </c>
      <c r="S14" s="5">
        <v>32</v>
      </c>
      <c r="T14" s="5">
        <v>2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5">
        <v>3</v>
      </c>
      <c r="AA14" s="6">
        <v>0</v>
      </c>
      <c r="AB14" s="6">
        <v>0</v>
      </c>
      <c r="AC14" s="5">
        <v>603</v>
      </c>
    </row>
    <row r="15" spans="1:29" x14ac:dyDescent="0.25">
      <c r="A15" s="4" t="s">
        <v>41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</row>
    <row r="16" spans="1:29" x14ac:dyDescent="0.25">
      <c r="A16" s="4" t="s">
        <v>42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5">
        <v>157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5">
        <v>157</v>
      </c>
    </row>
    <row r="17" spans="1:29" x14ac:dyDescent="0.25">
      <c r="A17" s="4" t="s">
        <v>43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</row>
    <row r="18" spans="1:29" x14ac:dyDescent="0.25">
      <c r="A18" s="4" t="s">
        <v>44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5">
        <v>22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5">
        <v>22</v>
      </c>
    </row>
    <row r="19" spans="1:29" x14ac:dyDescent="0.25">
      <c r="A19" s="4" t="s">
        <v>45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5">
        <v>343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5">
        <v>343</v>
      </c>
    </row>
    <row r="20" spans="1:29" x14ac:dyDescent="0.25">
      <c r="A20" s="4" t="s">
        <v>46</v>
      </c>
      <c r="B20" s="6">
        <v>0</v>
      </c>
      <c r="C20" s="6">
        <v>0</v>
      </c>
      <c r="D20" s="6">
        <v>0</v>
      </c>
      <c r="E20" s="5">
        <v>1</v>
      </c>
      <c r="F20" s="6">
        <v>0</v>
      </c>
      <c r="G20" s="5">
        <v>5</v>
      </c>
      <c r="H20" s="6">
        <v>0</v>
      </c>
      <c r="I20" s="5">
        <v>2</v>
      </c>
      <c r="J20" s="6">
        <v>0</v>
      </c>
      <c r="K20" s="5">
        <v>1</v>
      </c>
      <c r="L20" s="6">
        <v>0</v>
      </c>
      <c r="M20" s="6">
        <v>0</v>
      </c>
      <c r="N20" s="5">
        <v>1</v>
      </c>
      <c r="O20" s="6">
        <v>0</v>
      </c>
      <c r="P20" s="6">
        <v>0</v>
      </c>
      <c r="Q20" s="6">
        <v>0</v>
      </c>
      <c r="R20" s="6">
        <v>0</v>
      </c>
      <c r="S20" s="5">
        <v>5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5">
        <v>15</v>
      </c>
    </row>
    <row r="21" spans="1:29" x14ac:dyDescent="0.25">
      <c r="A21" s="4" t="s">
        <v>47</v>
      </c>
      <c r="B21" s="5">
        <v>4</v>
      </c>
      <c r="C21" s="5">
        <v>81</v>
      </c>
      <c r="D21" s="6">
        <v>0</v>
      </c>
      <c r="E21" s="6">
        <v>0</v>
      </c>
      <c r="F21" s="6">
        <v>0</v>
      </c>
      <c r="G21" s="5">
        <v>1</v>
      </c>
      <c r="H21" s="6">
        <v>0</v>
      </c>
      <c r="I21" s="5">
        <v>269</v>
      </c>
      <c r="J21" s="6">
        <v>0</v>
      </c>
      <c r="K21" s="5">
        <v>212</v>
      </c>
      <c r="L21" s="5">
        <v>1</v>
      </c>
      <c r="M21" s="6">
        <v>0</v>
      </c>
      <c r="N21" s="5">
        <v>1</v>
      </c>
      <c r="O21" s="5">
        <v>3</v>
      </c>
      <c r="P21" s="5">
        <v>69</v>
      </c>
      <c r="Q21" s="6">
        <v>0</v>
      </c>
      <c r="R21" s="6">
        <v>0</v>
      </c>
      <c r="S21" s="5">
        <v>17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5">
        <v>658</v>
      </c>
    </row>
    <row r="22" spans="1:29" x14ac:dyDescent="0.25">
      <c r="A22" s="4" t="s">
        <v>48</v>
      </c>
      <c r="B22" s="5">
        <v>1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5">
        <v>1</v>
      </c>
    </row>
    <row r="23" spans="1:29" x14ac:dyDescent="0.25">
      <c r="A23" s="4" t="s">
        <v>49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5">
        <v>1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5">
        <v>1</v>
      </c>
    </row>
    <row r="24" spans="1:29" x14ac:dyDescent="0.25">
      <c r="A24" s="4" t="s">
        <v>50</v>
      </c>
      <c r="B24" s="5">
        <v>1</v>
      </c>
      <c r="C24" s="6">
        <v>0</v>
      </c>
      <c r="D24" s="6">
        <v>0</v>
      </c>
      <c r="E24" s="6">
        <v>0</v>
      </c>
      <c r="F24" s="6">
        <v>0</v>
      </c>
      <c r="G24" s="5">
        <v>1</v>
      </c>
      <c r="H24" s="6">
        <v>0</v>
      </c>
      <c r="I24" s="5">
        <v>366</v>
      </c>
      <c r="J24" s="6">
        <v>0</v>
      </c>
      <c r="K24" s="5">
        <v>6</v>
      </c>
      <c r="L24" s="6">
        <v>0</v>
      </c>
      <c r="M24" s="6">
        <v>0</v>
      </c>
      <c r="N24" s="6">
        <v>0</v>
      </c>
      <c r="O24" s="6">
        <v>0</v>
      </c>
      <c r="P24" s="5">
        <v>385</v>
      </c>
      <c r="Q24" s="6">
        <v>0</v>
      </c>
      <c r="R24" s="6">
        <v>0</v>
      </c>
      <c r="S24" s="5">
        <v>1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5">
        <v>1</v>
      </c>
      <c r="AA24" s="6">
        <v>0</v>
      </c>
      <c r="AB24" s="6">
        <v>0</v>
      </c>
      <c r="AC24" s="5">
        <v>761</v>
      </c>
    </row>
    <row r="25" spans="1:29" x14ac:dyDescent="0.25">
      <c r="A25" s="4" t="s">
        <v>51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</row>
    <row r="26" spans="1:29" x14ac:dyDescent="0.25">
      <c r="A26" s="4" t="s">
        <v>52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5">
        <v>10</v>
      </c>
      <c r="H26" s="6">
        <v>0</v>
      </c>
      <c r="I26" s="5">
        <v>20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5">
        <v>20</v>
      </c>
      <c r="P26" s="6">
        <v>0</v>
      </c>
      <c r="Q26" s="6">
        <v>0</v>
      </c>
      <c r="R26" s="6">
        <v>0</v>
      </c>
      <c r="S26" s="5">
        <v>21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5">
        <v>71</v>
      </c>
    </row>
    <row r="27" spans="1:29" x14ac:dyDescent="0.25">
      <c r="A27" s="4" t="s">
        <v>53</v>
      </c>
      <c r="B27" s="5">
        <v>2039</v>
      </c>
      <c r="C27" s="5">
        <v>1553</v>
      </c>
      <c r="D27" s="5">
        <v>231</v>
      </c>
      <c r="E27" s="5">
        <v>17</v>
      </c>
      <c r="F27" s="5">
        <v>7</v>
      </c>
      <c r="G27" s="5">
        <v>31</v>
      </c>
      <c r="H27" s="5">
        <v>195</v>
      </c>
      <c r="I27" s="5">
        <v>2739</v>
      </c>
      <c r="J27" s="5">
        <v>16</v>
      </c>
      <c r="K27" s="5">
        <v>13</v>
      </c>
      <c r="L27" s="5">
        <v>1411</v>
      </c>
      <c r="M27" s="5">
        <v>1016</v>
      </c>
      <c r="N27" s="5">
        <v>15</v>
      </c>
      <c r="O27" s="5">
        <v>27</v>
      </c>
      <c r="P27" s="5">
        <v>959</v>
      </c>
      <c r="Q27" s="6">
        <v>0</v>
      </c>
      <c r="R27" s="5">
        <v>4</v>
      </c>
      <c r="S27" s="5">
        <v>2480</v>
      </c>
      <c r="T27" s="5">
        <v>16</v>
      </c>
      <c r="U27" s="6">
        <v>0</v>
      </c>
      <c r="V27" s="5">
        <v>507</v>
      </c>
      <c r="W27" s="5">
        <v>14</v>
      </c>
      <c r="X27" s="6">
        <v>0</v>
      </c>
      <c r="Y27" s="5">
        <v>18</v>
      </c>
      <c r="Z27" s="5">
        <v>684</v>
      </c>
      <c r="AA27" s="5">
        <v>5</v>
      </c>
      <c r="AB27" s="6">
        <v>0</v>
      </c>
      <c r="AC27" s="5">
        <v>13997</v>
      </c>
    </row>
    <row r="28" spans="1:29" x14ac:dyDescent="0.25">
      <c r="A28" s="4" t="s">
        <v>54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</row>
    <row r="29" spans="1:29" x14ac:dyDescent="0.25">
      <c r="A29" s="4" t="s">
        <v>55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5">
        <v>4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5">
        <v>4</v>
      </c>
    </row>
    <row r="30" spans="1:29" x14ac:dyDescent="0.25">
      <c r="A30" s="4" t="s">
        <v>56</v>
      </c>
      <c r="B30" s="5">
        <v>1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5">
        <v>1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5">
        <v>2</v>
      </c>
    </row>
    <row r="31" spans="1:29" x14ac:dyDescent="0.25">
      <c r="A31" s="4" t="s">
        <v>57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</row>
    <row r="32" spans="1:29" x14ac:dyDescent="0.25">
      <c r="A32" s="4" t="s">
        <v>58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</row>
    <row r="33" spans="1:29" x14ac:dyDescent="0.25">
      <c r="A33" s="4" t="s">
        <v>59</v>
      </c>
      <c r="B33" s="5">
        <v>8</v>
      </c>
      <c r="C33" s="5">
        <v>1</v>
      </c>
      <c r="D33" s="6">
        <v>0</v>
      </c>
      <c r="E33" s="5">
        <v>154</v>
      </c>
      <c r="F33" s="6">
        <v>0</v>
      </c>
      <c r="G33" s="5">
        <v>5</v>
      </c>
      <c r="H33" s="6">
        <v>0</v>
      </c>
      <c r="I33" s="5">
        <v>2</v>
      </c>
      <c r="J33" s="6">
        <v>0</v>
      </c>
      <c r="K33" s="5">
        <v>108</v>
      </c>
      <c r="L33" s="6">
        <v>0</v>
      </c>
      <c r="M33" s="6">
        <v>0</v>
      </c>
      <c r="N33" s="5">
        <v>2</v>
      </c>
      <c r="O33" s="5">
        <v>142</v>
      </c>
      <c r="P33" s="6">
        <v>0</v>
      </c>
      <c r="Q33" s="6">
        <v>0</v>
      </c>
      <c r="R33" s="5">
        <v>104</v>
      </c>
      <c r="S33" s="5">
        <v>353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5">
        <v>64</v>
      </c>
      <c r="AA33" s="6">
        <v>0</v>
      </c>
      <c r="AB33" s="6">
        <v>0</v>
      </c>
      <c r="AC33" s="5">
        <v>943</v>
      </c>
    </row>
    <row r="34" spans="1:29" x14ac:dyDescent="0.25">
      <c r="A34" s="4" t="s">
        <v>60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</row>
    <row r="35" spans="1:29" x14ac:dyDescent="0.25">
      <c r="A35" s="4" t="s">
        <v>61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5">
        <v>1449</v>
      </c>
      <c r="J35" s="6">
        <v>0</v>
      </c>
      <c r="K35" s="6">
        <v>0</v>
      </c>
      <c r="L35" s="5">
        <v>1</v>
      </c>
      <c r="M35" s="5">
        <v>1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5">
        <v>248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5">
        <v>1699</v>
      </c>
    </row>
    <row r="36" spans="1:29" x14ac:dyDescent="0.25">
      <c r="A36" s="4" t="s">
        <v>62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</row>
    <row r="37" spans="1:29" x14ac:dyDescent="0.25">
      <c r="A37" s="4" t="s">
        <v>63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</row>
    <row r="38" spans="1:29" x14ac:dyDescent="0.25">
      <c r="A38" s="4" t="s">
        <v>64</v>
      </c>
      <c r="B38" s="5">
        <v>268</v>
      </c>
      <c r="C38" s="5">
        <v>729</v>
      </c>
      <c r="D38" s="5">
        <v>49</v>
      </c>
      <c r="E38" s="5">
        <v>345</v>
      </c>
      <c r="F38" s="5">
        <v>78</v>
      </c>
      <c r="G38" s="5">
        <v>493</v>
      </c>
      <c r="H38" s="5">
        <v>38</v>
      </c>
      <c r="I38" s="5">
        <v>1352</v>
      </c>
      <c r="J38" s="5">
        <v>21</v>
      </c>
      <c r="K38" s="5">
        <v>158</v>
      </c>
      <c r="L38" s="5">
        <v>211</v>
      </c>
      <c r="M38" s="5">
        <v>286</v>
      </c>
      <c r="N38" s="5">
        <v>32</v>
      </c>
      <c r="O38" s="5">
        <v>619</v>
      </c>
      <c r="P38" s="5">
        <v>369</v>
      </c>
      <c r="Q38" s="6">
        <v>0</v>
      </c>
      <c r="R38" s="5">
        <v>141</v>
      </c>
      <c r="S38" s="5">
        <v>1267</v>
      </c>
      <c r="T38" s="5">
        <v>45</v>
      </c>
      <c r="U38" s="5">
        <v>9</v>
      </c>
      <c r="V38" s="5">
        <v>181</v>
      </c>
      <c r="W38" s="5">
        <v>65</v>
      </c>
      <c r="X38" s="5">
        <v>35</v>
      </c>
      <c r="Y38" s="5">
        <v>1</v>
      </c>
      <c r="Z38" s="5">
        <v>213</v>
      </c>
      <c r="AA38" s="6">
        <v>0</v>
      </c>
      <c r="AB38" s="6">
        <v>0</v>
      </c>
      <c r="AC38" s="5">
        <v>7005</v>
      </c>
    </row>
    <row r="39" spans="1:29" x14ac:dyDescent="0.25">
      <c r="A39" s="4" t="s">
        <v>65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5">
        <v>3</v>
      </c>
      <c r="J39" s="6">
        <v>0</v>
      </c>
      <c r="K39" s="6">
        <v>0</v>
      </c>
      <c r="L39" s="5">
        <v>2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5">
        <v>5</v>
      </c>
    </row>
    <row r="40" spans="1:29" x14ac:dyDescent="0.25">
      <c r="A40" s="4" t="s">
        <v>66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</row>
    <row r="41" spans="1:29" x14ac:dyDescent="0.25">
      <c r="A41" s="4" t="s">
        <v>67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5">
        <v>53</v>
      </c>
      <c r="H41" s="6">
        <v>0</v>
      </c>
      <c r="I41" s="5">
        <v>34</v>
      </c>
      <c r="J41" s="5">
        <v>1</v>
      </c>
      <c r="K41" s="6">
        <v>0</v>
      </c>
      <c r="L41" s="5">
        <v>14</v>
      </c>
      <c r="M41" s="5">
        <v>35</v>
      </c>
      <c r="N41" s="6">
        <v>0</v>
      </c>
      <c r="O41" s="5">
        <v>34</v>
      </c>
      <c r="P41" s="6">
        <v>0</v>
      </c>
      <c r="Q41" s="6">
        <v>0</v>
      </c>
      <c r="R41" s="6">
        <v>0</v>
      </c>
      <c r="S41" s="5">
        <v>35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5">
        <v>34</v>
      </c>
      <c r="AA41" s="6">
        <v>0</v>
      </c>
      <c r="AB41" s="6">
        <v>0</v>
      </c>
      <c r="AC41" s="5">
        <v>240</v>
      </c>
    </row>
    <row r="42" spans="1:29" x14ac:dyDescent="0.25">
      <c r="A42" s="4" t="s">
        <v>68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</row>
    <row r="43" spans="1:29" x14ac:dyDescent="0.25">
      <c r="A43" s="4" t="s">
        <v>69</v>
      </c>
      <c r="B43" s="5">
        <v>2</v>
      </c>
      <c r="C43" s="5">
        <v>201</v>
      </c>
      <c r="D43" s="5">
        <v>1</v>
      </c>
      <c r="E43" s="6">
        <v>0</v>
      </c>
      <c r="F43" s="6">
        <v>0</v>
      </c>
      <c r="G43" s="5">
        <v>183</v>
      </c>
      <c r="H43" s="6">
        <v>0</v>
      </c>
      <c r="I43" s="5">
        <v>4592</v>
      </c>
      <c r="J43" s="6">
        <v>0</v>
      </c>
      <c r="K43" s="5">
        <v>6</v>
      </c>
      <c r="L43" s="5">
        <v>1</v>
      </c>
      <c r="M43" s="6">
        <v>0</v>
      </c>
      <c r="N43" s="6">
        <v>0</v>
      </c>
      <c r="O43" s="5">
        <v>355</v>
      </c>
      <c r="P43" s="5">
        <v>308</v>
      </c>
      <c r="Q43" s="6">
        <v>0</v>
      </c>
      <c r="R43" s="6">
        <v>0</v>
      </c>
      <c r="S43" s="5">
        <v>1322</v>
      </c>
      <c r="T43" s="5">
        <v>1</v>
      </c>
      <c r="U43" s="6">
        <v>0</v>
      </c>
      <c r="V43" s="5">
        <v>1</v>
      </c>
      <c r="W43" s="6">
        <v>0</v>
      </c>
      <c r="X43" s="6">
        <v>0</v>
      </c>
      <c r="Y43" s="6">
        <v>0</v>
      </c>
      <c r="Z43" s="5">
        <v>4</v>
      </c>
      <c r="AA43" s="6">
        <v>0</v>
      </c>
      <c r="AB43" s="6">
        <v>0</v>
      </c>
      <c r="AC43" s="5">
        <v>6977</v>
      </c>
    </row>
    <row r="44" spans="1:29" x14ac:dyDescent="0.25">
      <c r="A44" s="4" t="s">
        <v>70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</row>
    <row r="45" spans="1:29" x14ac:dyDescent="0.25">
      <c r="A45" s="4" t="s">
        <v>71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5">
        <v>1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5">
        <v>1</v>
      </c>
    </row>
    <row r="46" spans="1:29" x14ac:dyDescent="0.25">
      <c r="A46" s="4" t="s">
        <v>72</v>
      </c>
      <c r="B46" s="5">
        <v>867</v>
      </c>
      <c r="C46" s="5">
        <v>2442</v>
      </c>
      <c r="D46" s="5">
        <v>469</v>
      </c>
      <c r="E46" s="5">
        <v>5</v>
      </c>
      <c r="F46" s="6">
        <v>0</v>
      </c>
      <c r="G46" s="5">
        <v>2642</v>
      </c>
      <c r="H46" s="5">
        <v>17</v>
      </c>
      <c r="I46" s="5">
        <v>4446</v>
      </c>
      <c r="J46" s="5">
        <v>7</v>
      </c>
      <c r="K46" s="5">
        <v>2</v>
      </c>
      <c r="L46" s="5">
        <v>1510</v>
      </c>
      <c r="M46" s="5">
        <v>1001</v>
      </c>
      <c r="N46" s="5">
        <v>45</v>
      </c>
      <c r="O46" s="5">
        <v>643</v>
      </c>
      <c r="P46" s="5">
        <v>962</v>
      </c>
      <c r="Q46" s="6">
        <v>0</v>
      </c>
      <c r="R46" s="5">
        <v>9</v>
      </c>
      <c r="S46" s="5">
        <v>2901</v>
      </c>
      <c r="T46" s="5">
        <v>17</v>
      </c>
      <c r="U46" s="5">
        <v>2</v>
      </c>
      <c r="V46" s="5">
        <v>11</v>
      </c>
      <c r="W46" s="5">
        <v>7</v>
      </c>
      <c r="X46" s="5">
        <v>8</v>
      </c>
      <c r="Y46" s="5">
        <v>9</v>
      </c>
      <c r="Z46" s="5">
        <v>946</v>
      </c>
      <c r="AA46" s="5">
        <v>26</v>
      </c>
      <c r="AB46" s="6">
        <v>0</v>
      </c>
      <c r="AC46" s="5">
        <v>18994</v>
      </c>
    </row>
    <row r="47" spans="1:29" x14ac:dyDescent="0.25">
      <c r="A47" s="4" t="s">
        <v>3</v>
      </c>
      <c r="B47" s="5">
        <v>4964</v>
      </c>
      <c r="C47" s="5">
        <v>34498</v>
      </c>
      <c r="D47" s="5">
        <v>7567</v>
      </c>
      <c r="E47" s="5">
        <v>3324</v>
      </c>
      <c r="F47" s="5">
        <v>7826</v>
      </c>
      <c r="G47" s="5">
        <v>24122</v>
      </c>
      <c r="H47" s="5">
        <v>1878</v>
      </c>
      <c r="I47" s="5">
        <v>33773</v>
      </c>
      <c r="J47" s="5">
        <v>1810</v>
      </c>
      <c r="K47" s="5">
        <v>93</v>
      </c>
      <c r="L47" s="5">
        <v>26264</v>
      </c>
      <c r="M47" s="5">
        <v>13729</v>
      </c>
      <c r="N47" s="5">
        <v>5063</v>
      </c>
      <c r="O47" s="5">
        <v>17915</v>
      </c>
      <c r="P47" s="5">
        <v>7353</v>
      </c>
      <c r="Q47" s="6">
        <v>0</v>
      </c>
      <c r="R47" s="5">
        <v>1374</v>
      </c>
      <c r="S47" s="5">
        <v>45814</v>
      </c>
      <c r="T47" s="5">
        <v>7346</v>
      </c>
      <c r="U47" s="5">
        <v>606</v>
      </c>
      <c r="V47" s="5">
        <v>9254</v>
      </c>
      <c r="W47" s="5">
        <v>6840</v>
      </c>
      <c r="X47" s="5">
        <v>2866</v>
      </c>
      <c r="Y47" s="5">
        <v>2826</v>
      </c>
      <c r="Z47" s="5">
        <v>24368</v>
      </c>
      <c r="AA47" s="5">
        <v>3705</v>
      </c>
      <c r="AB47" s="6">
        <v>0</v>
      </c>
      <c r="AC47" s="5">
        <v>295178</v>
      </c>
    </row>
    <row r="48" spans="1:29" x14ac:dyDescent="0.25">
      <c r="A48" s="4" t="s">
        <v>73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</row>
    <row r="49" spans="1:29" x14ac:dyDescent="0.25">
      <c r="A49" s="4" t="s">
        <v>74</v>
      </c>
      <c r="B49" s="6">
        <v>0</v>
      </c>
      <c r="C49" s="5">
        <v>27</v>
      </c>
      <c r="D49" s="6">
        <v>0</v>
      </c>
      <c r="E49" s="6">
        <v>0</v>
      </c>
      <c r="F49" s="6">
        <v>0</v>
      </c>
      <c r="G49" s="5">
        <v>333</v>
      </c>
      <c r="H49" s="6">
        <v>0</v>
      </c>
      <c r="I49" s="5">
        <v>553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5">
        <v>222</v>
      </c>
      <c r="P49" s="6">
        <v>0</v>
      </c>
      <c r="Q49" s="6">
        <v>0</v>
      </c>
      <c r="R49" s="6">
        <v>0</v>
      </c>
      <c r="S49" s="5">
        <v>240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5">
        <v>1375</v>
      </c>
    </row>
    <row r="50" spans="1:29" x14ac:dyDescent="0.25">
      <c r="A50" s="4" t="s">
        <v>75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5">
        <v>1</v>
      </c>
      <c r="J50" s="6">
        <v>0</v>
      </c>
      <c r="K50" s="5">
        <v>4</v>
      </c>
      <c r="L50" s="6">
        <v>0</v>
      </c>
      <c r="M50" s="6">
        <v>0</v>
      </c>
      <c r="N50" s="6">
        <v>0</v>
      </c>
      <c r="O50" s="6">
        <v>0</v>
      </c>
      <c r="P50" s="5">
        <v>2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5">
        <v>7</v>
      </c>
    </row>
    <row r="51" spans="1:29" x14ac:dyDescent="0.25">
      <c r="A51" s="4" t="s">
        <v>76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</row>
    <row r="52" spans="1:29" x14ac:dyDescent="0.25">
      <c r="A52" s="4" t="s">
        <v>77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</row>
    <row r="53" spans="1:29" x14ac:dyDescent="0.25">
      <c r="A53" s="4" t="s">
        <v>78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</row>
    <row r="54" spans="1:29" x14ac:dyDescent="0.25">
      <c r="A54" s="4" t="s">
        <v>79</v>
      </c>
      <c r="B54" s="5">
        <v>4</v>
      </c>
      <c r="C54" s="5">
        <v>221</v>
      </c>
      <c r="D54" s="5">
        <v>62</v>
      </c>
      <c r="E54" s="5">
        <v>1</v>
      </c>
      <c r="F54" s="5">
        <v>2</v>
      </c>
      <c r="G54" s="5">
        <v>2</v>
      </c>
      <c r="H54" s="6">
        <v>0</v>
      </c>
      <c r="I54" s="5">
        <v>927</v>
      </c>
      <c r="J54" s="6">
        <v>0</v>
      </c>
      <c r="K54" s="5">
        <v>2</v>
      </c>
      <c r="L54" s="5">
        <v>1</v>
      </c>
      <c r="M54" s="5">
        <v>82</v>
      </c>
      <c r="N54" s="6">
        <v>0</v>
      </c>
      <c r="O54" s="5">
        <v>1</v>
      </c>
      <c r="P54" s="5">
        <v>23</v>
      </c>
      <c r="Q54" s="6">
        <v>0</v>
      </c>
      <c r="R54" s="6">
        <v>0</v>
      </c>
      <c r="S54" s="5">
        <v>573</v>
      </c>
      <c r="T54" s="6">
        <v>0</v>
      </c>
      <c r="U54" s="5">
        <v>107</v>
      </c>
      <c r="V54" s="5">
        <v>4</v>
      </c>
      <c r="W54" s="5">
        <v>1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5">
        <v>2013</v>
      </c>
    </row>
    <row r="55" spans="1:29" x14ac:dyDescent="0.25">
      <c r="A55" s="4" t="s">
        <v>80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5">
        <v>1</v>
      </c>
      <c r="J55" s="6">
        <v>0</v>
      </c>
      <c r="K55" s="6">
        <v>0</v>
      </c>
      <c r="L55" s="6">
        <v>0</v>
      </c>
      <c r="M55" s="5">
        <v>2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5">
        <v>3</v>
      </c>
    </row>
    <row r="56" spans="1:29" x14ac:dyDescent="0.25">
      <c r="A56" s="4" t="s">
        <v>81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</row>
    <row r="57" spans="1:29" x14ac:dyDescent="0.25">
      <c r="A57" s="4" t="s">
        <v>82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</row>
    <row r="58" spans="1:29" x14ac:dyDescent="0.25">
      <c r="A58" s="4" t="s">
        <v>83</v>
      </c>
      <c r="B58" s="5">
        <v>11</v>
      </c>
      <c r="C58" s="5">
        <v>1719</v>
      </c>
      <c r="D58" s="5">
        <v>65</v>
      </c>
      <c r="E58" s="5">
        <v>3</v>
      </c>
      <c r="F58" s="5">
        <v>2</v>
      </c>
      <c r="G58" s="5">
        <v>813</v>
      </c>
      <c r="H58" s="5">
        <v>1</v>
      </c>
      <c r="I58" s="5">
        <v>1902</v>
      </c>
      <c r="J58" s="5">
        <v>1</v>
      </c>
      <c r="K58" s="5">
        <v>1</v>
      </c>
      <c r="L58" s="5">
        <v>725</v>
      </c>
      <c r="M58" s="5">
        <v>29</v>
      </c>
      <c r="N58" s="6">
        <v>0</v>
      </c>
      <c r="O58" s="5">
        <v>10</v>
      </c>
      <c r="P58" s="5">
        <v>263</v>
      </c>
      <c r="Q58" s="6">
        <v>0</v>
      </c>
      <c r="R58" s="5">
        <v>2</v>
      </c>
      <c r="S58" s="5">
        <v>1821</v>
      </c>
      <c r="T58" s="5">
        <v>3</v>
      </c>
      <c r="U58" s="6">
        <v>0</v>
      </c>
      <c r="V58" s="6">
        <v>0</v>
      </c>
      <c r="W58" s="5">
        <v>3</v>
      </c>
      <c r="X58" s="5">
        <v>2</v>
      </c>
      <c r="Y58" s="6">
        <v>0</v>
      </c>
      <c r="Z58" s="5">
        <v>7</v>
      </c>
      <c r="AA58" s="5">
        <v>1</v>
      </c>
      <c r="AB58" s="6">
        <v>0</v>
      </c>
      <c r="AC58" s="5">
        <v>7384</v>
      </c>
    </row>
    <row r="59" spans="1:29" x14ac:dyDescent="0.25">
      <c r="A59" s="4" t="s">
        <v>84</v>
      </c>
      <c r="B59" s="5">
        <v>2453</v>
      </c>
      <c r="C59" s="5">
        <v>3387</v>
      </c>
      <c r="D59" s="5">
        <v>1101</v>
      </c>
      <c r="E59" s="5">
        <v>85</v>
      </c>
      <c r="F59" s="5">
        <v>12</v>
      </c>
      <c r="G59" s="5">
        <v>4725</v>
      </c>
      <c r="H59" s="5">
        <v>4</v>
      </c>
      <c r="I59" s="5">
        <v>9401</v>
      </c>
      <c r="J59" s="5">
        <v>92</v>
      </c>
      <c r="K59" s="5">
        <v>139</v>
      </c>
      <c r="L59" s="5">
        <v>3167</v>
      </c>
      <c r="M59" s="5">
        <v>1661</v>
      </c>
      <c r="N59" s="5">
        <v>194</v>
      </c>
      <c r="O59" s="5">
        <v>2123</v>
      </c>
      <c r="P59" s="5">
        <v>1427</v>
      </c>
      <c r="Q59" s="6">
        <v>0</v>
      </c>
      <c r="R59" s="5">
        <v>49</v>
      </c>
      <c r="S59" s="5">
        <v>10691</v>
      </c>
      <c r="T59" s="5">
        <v>48</v>
      </c>
      <c r="U59" s="5">
        <v>95</v>
      </c>
      <c r="V59" s="5">
        <v>1371</v>
      </c>
      <c r="W59" s="5">
        <v>48</v>
      </c>
      <c r="X59" s="5">
        <v>14</v>
      </c>
      <c r="Y59" s="5">
        <v>80</v>
      </c>
      <c r="Z59" s="5">
        <v>2139</v>
      </c>
      <c r="AA59" s="5">
        <v>29</v>
      </c>
      <c r="AB59" s="6">
        <v>0</v>
      </c>
      <c r="AC59" s="5">
        <v>44535</v>
      </c>
    </row>
    <row r="60" spans="1:29" x14ac:dyDescent="0.25">
      <c r="A60" s="4" t="s">
        <v>332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</row>
    <row r="61" spans="1:29" x14ac:dyDescent="0.25">
      <c r="A61" s="4" t="s">
        <v>333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5">
        <v>1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5">
        <v>1</v>
      </c>
    </row>
    <row r="62" spans="1:29" x14ac:dyDescent="0.25">
      <c r="A62" s="4" t="s">
        <v>87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5">
        <v>23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5">
        <v>1</v>
      </c>
      <c r="Z62" s="6">
        <v>0</v>
      </c>
      <c r="AA62" s="6">
        <v>0</v>
      </c>
      <c r="AB62" s="6">
        <v>0</v>
      </c>
      <c r="AC62" s="5">
        <v>24</v>
      </c>
    </row>
    <row r="63" spans="1:29" x14ac:dyDescent="0.25">
      <c r="A63" s="4" t="s">
        <v>88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5">
        <v>1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5">
        <v>1</v>
      </c>
    </row>
    <row r="64" spans="1:29" x14ac:dyDescent="0.25">
      <c r="A64" s="4" t="s">
        <v>89</v>
      </c>
      <c r="B64" s="5">
        <v>31</v>
      </c>
      <c r="C64" s="6">
        <v>0</v>
      </c>
      <c r="D64" s="6">
        <v>0</v>
      </c>
      <c r="E64" s="5">
        <v>27</v>
      </c>
      <c r="F64" s="6">
        <v>0</v>
      </c>
      <c r="G64" s="5">
        <v>1</v>
      </c>
      <c r="H64" s="6">
        <v>0</v>
      </c>
      <c r="I64" s="5">
        <v>7</v>
      </c>
      <c r="J64" s="6">
        <v>0</v>
      </c>
      <c r="K64" s="5">
        <v>3</v>
      </c>
      <c r="L64" s="6">
        <v>0</v>
      </c>
      <c r="M64" s="5">
        <v>1</v>
      </c>
      <c r="N64" s="5">
        <v>1</v>
      </c>
      <c r="O64" s="6">
        <v>0</v>
      </c>
      <c r="P64" s="5">
        <v>21</v>
      </c>
      <c r="Q64" s="6">
        <v>0</v>
      </c>
      <c r="R64" s="5">
        <v>29</v>
      </c>
      <c r="S64" s="5">
        <v>316</v>
      </c>
      <c r="T64" s="6">
        <v>0</v>
      </c>
      <c r="U64" s="5">
        <v>1</v>
      </c>
      <c r="V64" s="5">
        <v>6</v>
      </c>
      <c r="W64" s="5">
        <v>1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5">
        <v>445</v>
      </c>
    </row>
    <row r="65" spans="1:29" x14ac:dyDescent="0.25">
      <c r="A65" s="4" t="s">
        <v>90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5">
        <v>3</v>
      </c>
      <c r="J65" s="6">
        <v>0</v>
      </c>
      <c r="K65" s="6">
        <v>0</v>
      </c>
      <c r="L65" s="6">
        <v>0</v>
      </c>
      <c r="M65" s="6">
        <v>0</v>
      </c>
      <c r="N65" s="5">
        <v>1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5">
        <v>4</v>
      </c>
    </row>
    <row r="66" spans="1:29" x14ac:dyDescent="0.25">
      <c r="A66" s="4" t="s">
        <v>91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5">
        <v>1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5">
        <v>1</v>
      </c>
      <c r="N66" s="5">
        <v>2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5">
        <v>4</v>
      </c>
    </row>
    <row r="67" spans="1:29" x14ac:dyDescent="0.25">
      <c r="A67" s="4" t="s">
        <v>92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5">
        <v>23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5">
        <v>23</v>
      </c>
    </row>
    <row r="68" spans="1:29" x14ac:dyDescent="0.25">
      <c r="A68" s="4" t="s">
        <v>93</v>
      </c>
      <c r="B68" s="5">
        <v>1185</v>
      </c>
      <c r="C68" s="5">
        <v>410</v>
      </c>
      <c r="D68" s="5">
        <v>37</v>
      </c>
      <c r="E68" s="6">
        <v>0</v>
      </c>
      <c r="F68" s="6">
        <v>0</v>
      </c>
      <c r="G68" s="5">
        <v>1222</v>
      </c>
      <c r="H68" s="6">
        <v>0</v>
      </c>
      <c r="I68" s="5">
        <v>1763</v>
      </c>
      <c r="J68" s="5">
        <v>2</v>
      </c>
      <c r="K68" s="5">
        <v>114</v>
      </c>
      <c r="L68" s="5">
        <v>473</v>
      </c>
      <c r="M68" s="5">
        <v>130</v>
      </c>
      <c r="N68" s="5">
        <v>73</v>
      </c>
      <c r="O68" s="5">
        <v>561</v>
      </c>
      <c r="P68" s="5">
        <v>277</v>
      </c>
      <c r="Q68" s="6">
        <v>0</v>
      </c>
      <c r="R68" s="5">
        <v>2</v>
      </c>
      <c r="S68" s="5">
        <v>2822</v>
      </c>
      <c r="T68" s="5">
        <v>3</v>
      </c>
      <c r="U68" s="5">
        <v>159</v>
      </c>
      <c r="V68" s="5">
        <v>75</v>
      </c>
      <c r="W68" s="5">
        <v>1</v>
      </c>
      <c r="X68" s="6">
        <v>0</v>
      </c>
      <c r="Y68" s="5">
        <v>1</v>
      </c>
      <c r="Z68" s="5">
        <v>892</v>
      </c>
      <c r="AA68" s="6">
        <v>0</v>
      </c>
      <c r="AB68" s="6">
        <v>0</v>
      </c>
      <c r="AC68" s="5">
        <v>10202</v>
      </c>
    </row>
    <row r="69" spans="1:29" x14ac:dyDescent="0.25">
      <c r="A69" s="4" t="s">
        <v>94</v>
      </c>
      <c r="B69" s="5">
        <v>279</v>
      </c>
      <c r="C69" s="5">
        <v>368</v>
      </c>
      <c r="D69" s="5">
        <v>290</v>
      </c>
      <c r="E69" s="5">
        <v>1</v>
      </c>
      <c r="F69" s="5">
        <v>170</v>
      </c>
      <c r="G69" s="5">
        <v>1451</v>
      </c>
      <c r="H69" s="5">
        <v>108</v>
      </c>
      <c r="I69" s="5">
        <v>1100</v>
      </c>
      <c r="J69" s="5">
        <v>77</v>
      </c>
      <c r="K69" s="5">
        <v>79</v>
      </c>
      <c r="L69" s="5">
        <v>579</v>
      </c>
      <c r="M69" s="5">
        <v>720</v>
      </c>
      <c r="N69" s="5">
        <v>97</v>
      </c>
      <c r="O69" s="5">
        <v>610</v>
      </c>
      <c r="P69" s="5">
        <v>388</v>
      </c>
      <c r="Q69" s="6">
        <v>0</v>
      </c>
      <c r="R69" s="5">
        <v>69</v>
      </c>
      <c r="S69" s="5">
        <v>1658</v>
      </c>
      <c r="T69" s="5">
        <v>98</v>
      </c>
      <c r="U69" s="5">
        <v>163</v>
      </c>
      <c r="V69" s="5">
        <v>367</v>
      </c>
      <c r="W69" s="5">
        <v>118</v>
      </c>
      <c r="X69" s="5">
        <v>40</v>
      </c>
      <c r="Y69" s="5">
        <v>94</v>
      </c>
      <c r="Z69" s="5">
        <v>817</v>
      </c>
      <c r="AA69" s="5">
        <v>2</v>
      </c>
      <c r="AB69" s="6">
        <v>0</v>
      </c>
      <c r="AC69" s="5">
        <v>9743</v>
      </c>
    </row>
    <row r="70" spans="1:29" x14ac:dyDescent="0.25">
      <c r="A70" s="4" t="s">
        <v>95</v>
      </c>
      <c r="B70" s="6">
        <v>0</v>
      </c>
      <c r="C70" s="5">
        <v>1</v>
      </c>
      <c r="D70" s="6">
        <v>0</v>
      </c>
      <c r="E70" s="6">
        <v>0</v>
      </c>
      <c r="F70" s="6">
        <v>0</v>
      </c>
      <c r="G70" s="5">
        <v>4</v>
      </c>
      <c r="H70" s="6">
        <v>0</v>
      </c>
      <c r="I70" s="5">
        <v>1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5">
        <v>1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5">
        <v>7</v>
      </c>
    </row>
    <row r="71" spans="1:29" x14ac:dyDescent="0.25">
      <c r="A71" s="4" t="s">
        <v>96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5">
        <v>3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5">
        <v>3</v>
      </c>
    </row>
    <row r="72" spans="1:29" x14ac:dyDescent="0.25">
      <c r="A72" s="4" t="s">
        <v>97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</row>
    <row r="73" spans="1:29" x14ac:dyDescent="0.25">
      <c r="A73" s="4" t="s">
        <v>98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</row>
    <row r="74" spans="1:29" x14ac:dyDescent="0.25">
      <c r="A74" s="4" t="s">
        <v>99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5">
        <v>1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5">
        <v>1</v>
      </c>
    </row>
    <row r="75" spans="1:29" x14ac:dyDescent="0.25">
      <c r="A75" s="4" t="s">
        <v>334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</row>
    <row r="76" spans="1:29" x14ac:dyDescent="0.25">
      <c r="A76" s="4" t="s">
        <v>101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</row>
    <row r="77" spans="1:29" x14ac:dyDescent="0.25">
      <c r="A77" s="4" t="s">
        <v>102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5">
        <v>2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5">
        <v>2</v>
      </c>
    </row>
    <row r="78" spans="1:29" x14ac:dyDescent="0.25">
      <c r="A78" s="4" t="s">
        <v>103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</row>
    <row r="79" spans="1:29" x14ac:dyDescent="0.25">
      <c r="A79" s="4" t="s">
        <v>104</v>
      </c>
      <c r="B79" s="5">
        <v>1</v>
      </c>
      <c r="C79" s="6">
        <v>0</v>
      </c>
      <c r="D79" s="6">
        <v>0</v>
      </c>
      <c r="E79" s="6">
        <v>0</v>
      </c>
      <c r="F79" s="6">
        <v>0</v>
      </c>
      <c r="G79" s="5">
        <v>204</v>
      </c>
      <c r="H79" s="6">
        <v>0</v>
      </c>
      <c r="I79" s="5">
        <v>753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5">
        <v>267</v>
      </c>
      <c r="P79" s="5">
        <v>299</v>
      </c>
      <c r="Q79" s="6">
        <v>0</v>
      </c>
      <c r="R79" s="6">
        <v>0</v>
      </c>
      <c r="S79" s="5">
        <v>311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5">
        <v>1</v>
      </c>
      <c r="AA79" s="6">
        <v>0</v>
      </c>
      <c r="AB79" s="6">
        <v>0</v>
      </c>
      <c r="AC79" s="5">
        <v>1836</v>
      </c>
    </row>
    <row r="80" spans="1:29" x14ac:dyDescent="0.25">
      <c r="A80" s="4" t="s">
        <v>105</v>
      </c>
      <c r="B80" s="5">
        <v>1</v>
      </c>
      <c r="C80" s="6">
        <v>0</v>
      </c>
      <c r="D80" s="6">
        <v>0</v>
      </c>
      <c r="E80" s="6">
        <v>0</v>
      </c>
      <c r="F80" s="6">
        <v>0</v>
      </c>
      <c r="G80" s="5">
        <v>3</v>
      </c>
      <c r="H80" s="6">
        <v>0</v>
      </c>
      <c r="I80" s="5">
        <v>2419</v>
      </c>
      <c r="J80" s="6">
        <v>0</v>
      </c>
      <c r="K80" s="5">
        <v>1</v>
      </c>
      <c r="L80" s="6">
        <v>0</v>
      </c>
      <c r="M80" s="6">
        <v>0</v>
      </c>
      <c r="N80" s="6">
        <v>0</v>
      </c>
      <c r="O80" s="5">
        <v>3</v>
      </c>
      <c r="P80" s="5">
        <v>182</v>
      </c>
      <c r="Q80" s="6">
        <v>0</v>
      </c>
      <c r="R80" s="6">
        <v>0</v>
      </c>
      <c r="S80" s="5">
        <v>710</v>
      </c>
      <c r="T80" s="6">
        <v>0</v>
      </c>
      <c r="U80" s="6">
        <v>0</v>
      </c>
      <c r="V80" s="5">
        <v>2</v>
      </c>
      <c r="W80" s="5">
        <v>1</v>
      </c>
      <c r="X80" s="6">
        <v>0</v>
      </c>
      <c r="Y80" s="6">
        <v>0</v>
      </c>
      <c r="Z80" s="5">
        <v>1</v>
      </c>
      <c r="AA80" s="6">
        <v>0</v>
      </c>
      <c r="AB80" s="6">
        <v>0</v>
      </c>
      <c r="AC80" s="5">
        <v>3323</v>
      </c>
    </row>
    <row r="81" spans="1:29" x14ac:dyDescent="0.25">
      <c r="A81" s="4" t="s">
        <v>106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5">
        <v>1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5">
        <v>1</v>
      </c>
    </row>
    <row r="82" spans="1:29" x14ac:dyDescent="0.25">
      <c r="A82" s="4" t="s">
        <v>107</v>
      </c>
      <c r="B82" s="5">
        <v>5</v>
      </c>
      <c r="C82" s="5">
        <v>52</v>
      </c>
      <c r="D82" s="6">
        <v>0</v>
      </c>
      <c r="E82" s="5">
        <v>9</v>
      </c>
      <c r="F82" s="6">
        <v>0</v>
      </c>
      <c r="G82" s="5">
        <v>228</v>
      </c>
      <c r="H82" s="6">
        <v>0</v>
      </c>
      <c r="I82" s="5">
        <v>175</v>
      </c>
      <c r="J82" s="6">
        <v>0</v>
      </c>
      <c r="K82" s="5">
        <v>12</v>
      </c>
      <c r="L82" s="5">
        <v>4</v>
      </c>
      <c r="M82" s="6">
        <v>0</v>
      </c>
      <c r="N82" s="6">
        <v>0</v>
      </c>
      <c r="O82" s="6">
        <v>0</v>
      </c>
      <c r="P82" s="5">
        <v>19</v>
      </c>
      <c r="Q82" s="6">
        <v>0</v>
      </c>
      <c r="R82" s="6">
        <v>0</v>
      </c>
      <c r="S82" s="5">
        <v>106</v>
      </c>
      <c r="T82" s="6">
        <v>0</v>
      </c>
      <c r="U82" s="6">
        <v>0</v>
      </c>
      <c r="V82" s="5">
        <v>1</v>
      </c>
      <c r="W82" s="6">
        <v>0</v>
      </c>
      <c r="X82" s="6">
        <v>0</v>
      </c>
      <c r="Y82" s="6">
        <v>0</v>
      </c>
      <c r="Z82" s="5">
        <v>1</v>
      </c>
      <c r="AA82" s="6">
        <v>0</v>
      </c>
      <c r="AB82" s="6">
        <v>0</v>
      </c>
      <c r="AC82" s="5">
        <v>612</v>
      </c>
    </row>
    <row r="83" spans="1:29" x14ac:dyDescent="0.25">
      <c r="A83" s="4" t="s">
        <v>108</v>
      </c>
      <c r="B83" s="5">
        <v>104</v>
      </c>
      <c r="C83" s="6">
        <v>0</v>
      </c>
      <c r="D83" s="6">
        <v>0</v>
      </c>
      <c r="E83" s="6">
        <v>0</v>
      </c>
      <c r="F83" s="5">
        <v>1</v>
      </c>
      <c r="G83" s="5">
        <v>172</v>
      </c>
      <c r="H83" s="6">
        <v>0</v>
      </c>
      <c r="I83" s="5">
        <v>508</v>
      </c>
      <c r="J83" s="6">
        <v>0</v>
      </c>
      <c r="K83" s="5">
        <v>1</v>
      </c>
      <c r="L83" s="5">
        <v>96</v>
      </c>
      <c r="M83" s="6">
        <v>0</v>
      </c>
      <c r="N83" s="6">
        <v>0</v>
      </c>
      <c r="O83" s="5">
        <v>52</v>
      </c>
      <c r="P83" s="6">
        <v>0</v>
      </c>
      <c r="Q83" s="6">
        <v>0</v>
      </c>
      <c r="R83" s="6">
        <v>0</v>
      </c>
      <c r="S83" s="5">
        <v>175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5">
        <v>2</v>
      </c>
      <c r="AA83" s="6">
        <v>0</v>
      </c>
      <c r="AB83" s="6">
        <v>0</v>
      </c>
      <c r="AC83" s="5">
        <v>1111</v>
      </c>
    </row>
    <row r="84" spans="1:29" x14ac:dyDescent="0.25">
      <c r="A84" s="4" t="s">
        <v>109</v>
      </c>
      <c r="B84" s="5">
        <v>697</v>
      </c>
      <c r="C84" s="5">
        <v>587</v>
      </c>
      <c r="D84" s="5">
        <v>132</v>
      </c>
      <c r="E84" s="5">
        <v>3</v>
      </c>
      <c r="F84" s="5">
        <v>2</v>
      </c>
      <c r="G84" s="5">
        <v>867</v>
      </c>
      <c r="H84" s="5">
        <v>2</v>
      </c>
      <c r="I84" s="5">
        <v>1754</v>
      </c>
      <c r="J84" s="5">
        <v>7</v>
      </c>
      <c r="K84" s="5">
        <v>374</v>
      </c>
      <c r="L84" s="5">
        <v>360</v>
      </c>
      <c r="M84" s="5">
        <v>8</v>
      </c>
      <c r="N84" s="6">
        <v>0</v>
      </c>
      <c r="O84" s="5">
        <v>816</v>
      </c>
      <c r="P84" s="5">
        <v>78</v>
      </c>
      <c r="Q84" s="6">
        <v>0</v>
      </c>
      <c r="R84" s="5">
        <v>217</v>
      </c>
      <c r="S84" s="5">
        <v>1114</v>
      </c>
      <c r="T84" s="5">
        <v>1</v>
      </c>
      <c r="U84" s="6">
        <v>0</v>
      </c>
      <c r="V84" s="5">
        <v>4</v>
      </c>
      <c r="W84" s="5">
        <v>5</v>
      </c>
      <c r="X84" s="6">
        <v>0</v>
      </c>
      <c r="Y84" s="5">
        <v>2</v>
      </c>
      <c r="Z84" s="5">
        <v>165</v>
      </c>
      <c r="AA84" s="5">
        <v>1</v>
      </c>
      <c r="AB84" s="6">
        <v>0</v>
      </c>
      <c r="AC84" s="5">
        <v>7196</v>
      </c>
    </row>
    <row r="85" spans="1:29" x14ac:dyDescent="0.25">
      <c r="A85" s="4" t="s">
        <v>110</v>
      </c>
      <c r="B85" s="5">
        <v>282</v>
      </c>
      <c r="C85" s="5">
        <v>236</v>
      </c>
      <c r="D85" s="5">
        <v>23</v>
      </c>
      <c r="E85" s="5">
        <v>1</v>
      </c>
      <c r="F85" s="5">
        <v>1</v>
      </c>
      <c r="G85" s="5">
        <v>186</v>
      </c>
      <c r="H85" s="6">
        <v>0</v>
      </c>
      <c r="I85" s="5">
        <v>682</v>
      </c>
      <c r="J85" s="5">
        <v>25</v>
      </c>
      <c r="K85" s="5">
        <v>3</v>
      </c>
      <c r="L85" s="5">
        <v>172</v>
      </c>
      <c r="M85" s="5">
        <v>3</v>
      </c>
      <c r="N85" s="5">
        <v>2</v>
      </c>
      <c r="O85" s="5">
        <v>40</v>
      </c>
      <c r="P85" s="5">
        <v>6</v>
      </c>
      <c r="Q85" s="6">
        <v>0</v>
      </c>
      <c r="R85" s="5">
        <v>2</v>
      </c>
      <c r="S85" s="5">
        <v>509</v>
      </c>
      <c r="T85" s="5">
        <v>1</v>
      </c>
      <c r="U85" s="6">
        <v>0</v>
      </c>
      <c r="V85" s="5">
        <v>31</v>
      </c>
      <c r="W85" s="5">
        <v>1</v>
      </c>
      <c r="X85" s="6">
        <v>0</v>
      </c>
      <c r="Y85" s="5">
        <v>1</v>
      </c>
      <c r="Z85" s="5">
        <v>38</v>
      </c>
      <c r="AA85" s="6">
        <v>0</v>
      </c>
      <c r="AB85" s="6">
        <v>0</v>
      </c>
      <c r="AC85" s="5">
        <v>2245</v>
      </c>
    </row>
    <row r="86" spans="1:29" x14ac:dyDescent="0.25">
      <c r="A86" s="4" t="s">
        <v>111</v>
      </c>
      <c r="B86" s="5">
        <v>875</v>
      </c>
      <c r="C86" s="5">
        <v>391</v>
      </c>
      <c r="D86" s="6">
        <v>0</v>
      </c>
      <c r="E86" s="6">
        <v>0</v>
      </c>
      <c r="F86" s="6">
        <v>0</v>
      </c>
      <c r="G86" s="5">
        <v>113</v>
      </c>
      <c r="H86" s="6">
        <v>0</v>
      </c>
      <c r="I86" s="5">
        <v>1706</v>
      </c>
      <c r="J86" s="6">
        <v>0</v>
      </c>
      <c r="K86" s="5">
        <v>2</v>
      </c>
      <c r="L86" s="5">
        <v>105</v>
      </c>
      <c r="M86" s="6">
        <v>0</v>
      </c>
      <c r="N86" s="5">
        <v>1</v>
      </c>
      <c r="O86" s="5">
        <v>23</v>
      </c>
      <c r="P86" s="5">
        <v>241</v>
      </c>
      <c r="Q86" s="6">
        <v>0</v>
      </c>
      <c r="R86" s="6">
        <v>0</v>
      </c>
      <c r="S86" s="5">
        <v>1067</v>
      </c>
      <c r="T86" s="6">
        <v>0</v>
      </c>
      <c r="U86" s="6">
        <v>0</v>
      </c>
      <c r="V86" s="5">
        <v>1</v>
      </c>
      <c r="W86" s="6">
        <v>0</v>
      </c>
      <c r="X86" s="6">
        <v>0</v>
      </c>
      <c r="Y86" s="6">
        <v>0</v>
      </c>
      <c r="Z86" s="5">
        <v>48</v>
      </c>
      <c r="AA86" s="6">
        <v>0</v>
      </c>
      <c r="AB86" s="6">
        <v>0</v>
      </c>
      <c r="AC86" s="5">
        <v>4573</v>
      </c>
    </row>
    <row r="87" spans="1:29" x14ac:dyDescent="0.25">
      <c r="A87" s="4" t="s">
        <v>112</v>
      </c>
      <c r="B87" s="5">
        <v>4630</v>
      </c>
      <c r="C87" s="5">
        <v>4101</v>
      </c>
      <c r="D87" s="5">
        <v>121</v>
      </c>
      <c r="E87" s="5">
        <v>37</v>
      </c>
      <c r="F87" s="5">
        <v>11</v>
      </c>
      <c r="G87" s="5">
        <v>7062</v>
      </c>
      <c r="H87" s="5">
        <v>22</v>
      </c>
      <c r="I87" s="5">
        <v>15575</v>
      </c>
      <c r="J87" s="5">
        <v>26</v>
      </c>
      <c r="K87" s="5">
        <v>1941</v>
      </c>
      <c r="L87" s="5">
        <v>2361</v>
      </c>
      <c r="M87" s="5">
        <v>358</v>
      </c>
      <c r="N87" s="5">
        <v>423</v>
      </c>
      <c r="O87" s="5">
        <v>4639</v>
      </c>
      <c r="P87" s="5">
        <v>1989</v>
      </c>
      <c r="Q87" s="6">
        <v>0</v>
      </c>
      <c r="R87" s="5">
        <v>249</v>
      </c>
      <c r="S87" s="5">
        <v>19219</v>
      </c>
      <c r="T87" s="5">
        <v>22</v>
      </c>
      <c r="U87" s="5">
        <v>1259</v>
      </c>
      <c r="V87" s="5">
        <v>238</v>
      </c>
      <c r="W87" s="5">
        <v>31</v>
      </c>
      <c r="X87" s="5">
        <v>78</v>
      </c>
      <c r="Y87" s="5">
        <v>30</v>
      </c>
      <c r="Z87" s="5">
        <v>3252</v>
      </c>
      <c r="AA87" s="5">
        <v>7</v>
      </c>
      <c r="AB87" s="6">
        <v>0</v>
      </c>
      <c r="AC87" s="5">
        <v>67681</v>
      </c>
    </row>
    <row r="88" spans="1:29" x14ac:dyDescent="0.25">
      <c r="A88" s="4" t="s">
        <v>113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5">
        <v>10</v>
      </c>
      <c r="H88" s="6">
        <v>0</v>
      </c>
      <c r="I88" s="5">
        <v>103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5">
        <v>21</v>
      </c>
      <c r="P88" s="6">
        <v>0</v>
      </c>
      <c r="Q88" s="6">
        <v>0</v>
      </c>
      <c r="R88" s="6">
        <v>0</v>
      </c>
      <c r="S88" s="5">
        <v>21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5">
        <v>155</v>
      </c>
    </row>
    <row r="89" spans="1:29" x14ac:dyDescent="0.25">
      <c r="A89" s="4" t="s">
        <v>114</v>
      </c>
      <c r="B89" s="5">
        <v>2</v>
      </c>
      <c r="C89" s="5">
        <v>2</v>
      </c>
      <c r="D89" s="6">
        <v>0</v>
      </c>
      <c r="E89" s="6">
        <v>0</v>
      </c>
      <c r="F89" s="6">
        <v>0</v>
      </c>
      <c r="G89" s="5">
        <v>362</v>
      </c>
      <c r="H89" s="6">
        <v>0</v>
      </c>
      <c r="I89" s="5">
        <v>2292</v>
      </c>
      <c r="J89" s="6">
        <v>0</v>
      </c>
      <c r="K89" s="5">
        <v>1</v>
      </c>
      <c r="L89" s="6">
        <v>0</v>
      </c>
      <c r="M89" s="6">
        <v>0</v>
      </c>
      <c r="N89" s="6">
        <v>0</v>
      </c>
      <c r="O89" s="6">
        <v>0</v>
      </c>
      <c r="P89" s="5">
        <v>53</v>
      </c>
      <c r="Q89" s="6">
        <v>0</v>
      </c>
      <c r="R89" s="6">
        <v>0</v>
      </c>
      <c r="S89" s="5">
        <v>666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5">
        <v>3378</v>
      </c>
    </row>
    <row r="90" spans="1:29" x14ac:dyDescent="0.25">
      <c r="A90" s="4" t="s">
        <v>115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</row>
    <row r="91" spans="1:29" x14ac:dyDescent="0.25">
      <c r="A91" s="4" t="s">
        <v>116</v>
      </c>
      <c r="B91" s="5">
        <v>1</v>
      </c>
      <c r="C91" s="5">
        <v>228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5">
        <v>633</v>
      </c>
      <c r="J91" s="6">
        <v>0</v>
      </c>
      <c r="K91" s="5">
        <v>7</v>
      </c>
      <c r="L91" s="5">
        <v>1</v>
      </c>
      <c r="M91" s="5">
        <v>1</v>
      </c>
      <c r="N91" s="6">
        <v>0</v>
      </c>
      <c r="O91" s="6">
        <v>0</v>
      </c>
      <c r="P91" s="5">
        <v>1</v>
      </c>
      <c r="Q91" s="6">
        <v>0</v>
      </c>
      <c r="R91" s="6">
        <v>0</v>
      </c>
      <c r="S91" s="5">
        <v>108</v>
      </c>
      <c r="T91" s="6">
        <v>0</v>
      </c>
      <c r="U91" s="6">
        <v>0</v>
      </c>
      <c r="V91" s="5">
        <v>1</v>
      </c>
      <c r="W91" s="6">
        <v>0</v>
      </c>
      <c r="X91" s="6">
        <v>0</v>
      </c>
      <c r="Y91" s="6">
        <v>0</v>
      </c>
      <c r="Z91" s="5">
        <v>2</v>
      </c>
      <c r="AA91" s="6">
        <v>0</v>
      </c>
      <c r="AB91" s="6">
        <v>0</v>
      </c>
      <c r="AC91" s="5">
        <v>983</v>
      </c>
    </row>
    <row r="92" spans="1:29" x14ac:dyDescent="0.25">
      <c r="A92" s="4" t="s">
        <v>117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</row>
    <row r="93" spans="1:29" x14ac:dyDescent="0.25">
      <c r="A93" s="4" t="s">
        <v>118</v>
      </c>
      <c r="B93" s="6">
        <v>0</v>
      </c>
      <c r="C93" s="6">
        <v>0</v>
      </c>
      <c r="D93" s="5">
        <v>1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5">
        <v>1</v>
      </c>
    </row>
    <row r="94" spans="1:29" x14ac:dyDescent="0.25">
      <c r="A94" s="4" t="s">
        <v>119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5">
        <v>6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5">
        <v>1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5">
        <v>7</v>
      </c>
    </row>
    <row r="95" spans="1:29" x14ac:dyDescent="0.25">
      <c r="A95" s="4" t="s">
        <v>120</v>
      </c>
      <c r="B95" s="5">
        <v>3</v>
      </c>
      <c r="C95" s="5">
        <v>2</v>
      </c>
      <c r="D95" s="5">
        <v>1</v>
      </c>
      <c r="E95" s="6">
        <v>0</v>
      </c>
      <c r="F95" s="6">
        <v>0</v>
      </c>
      <c r="G95" s="5">
        <v>2</v>
      </c>
      <c r="H95" s="6">
        <v>0</v>
      </c>
      <c r="I95" s="5">
        <v>2844</v>
      </c>
      <c r="J95" s="5">
        <v>1</v>
      </c>
      <c r="K95" s="5">
        <v>3</v>
      </c>
      <c r="L95" s="5">
        <v>1</v>
      </c>
      <c r="M95" s="5">
        <v>9</v>
      </c>
      <c r="N95" s="5">
        <v>3</v>
      </c>
      <c r="O95" s="5">
        <v>59</v>
      </c>
      <c r="P95" s="5">
        <v>1</v>
      </c>
      <c r="Q95" s="6">
        <v>0</v>
      </c>
      <c r="R95" s="6">
        <v>0</v>
      </c>
      <c r="S95" s="5">
        <v>1056</v>
      </c>
      <c r="T95" s="6">
        <v>0</v>
      </c>
      <c r="U95" s="5">
        <v>1</v>
      </c>
      <c r="V95" s="5">
        <v>3</v>
      </c>
      <c r="W95" s="6">
        <v>0</v>
      </c>
      <c r="X95" s="6">
        <v>0</v>
      </c>
      <c r="Y95" s="6">
        <v>0</v>
      </c>
      <c r="Z95" s="5">
        <v>1</v>
      </c>
      <c r="AA95" s="6">
        <v>0</v>
      </c>
      <c r="AB95" s="6">
        <v>0</v>
      </c>
      <c r="AC95" s="5">
        <v>3990</v>
      </c>
    </row>
    <row r="96" spans="1:29" x14ac:dyDescent="0.25">
      <c r="A96" s="4" t="s">
        <v>121</v>
      </c>
      <c r="B96" s="5">
        <v>13</v>
      </c>
      <c r="C96" s="6">
        <v>0</v>
      </c>
      <c r="D96" s="6">
        <v>0</v>
      </c>
      <c r="E96" s="6">
        <v>0</v>
      </c>
      <c r="F96" s="5">
        <v>1</v>
      </c>
      <c r="G96" s="5">
        <v>2</v>
      </c>
      <c r="H96" s="6">
        <v>0</v>
      </c>
      <c r="I96" s="5">
        <v>884</v>
      </c>
      <c r="J96" s="6">
        <v>0</v>
      </c>
      <c r="K96" s="5">
        <v>2</v>
      </c>
      <c r="L96" s="6">
        <v>0</v>
      </c>
      <c r="M96" s="5">
        <v>17</v>
      </c>
      <c r="N96" s="5">
        <v>4</v>
      </c>
      <c r="O96" s="6">
        <v>0</v>
      </c>
      <c r="P96" s="5">
        <v>1</v>
      </c>
      <c r="Q96" s="6">
        <v>0</v>
      </c>
      <c r="R96" s="6">
        <v>0</v>
      </c>
      <c r="S96" s="5">
        <v>6</v>
      </c>
      <c r="T96" s="6">
        <v>0</v>
      </c>
      <c r="U96" s="5">
        <v>1</v>
      </c>
      <c r="V96" s="5">
        <v>3</v>
      </c>
      <c r="W96" s="5">
        <v>1</v>
      </c>
      <c r="X96" s="5">
        <v>1</v>
      </c>
      <c r="Y96" s="6">
        <v>0</v>
      </c>
      <c r="Z96" s="5">
        <v>2</v>
      </c>
      <c r="AA96" s="6">
        <v>0</v>
      </c>
      <c r="AB96" s="6">
        <v>0</v>
      </c>
      <c r="AC96" s="5">
        <v>938</v>
      </c>
    </row>
    <row r="97" spans="1:29" x14ac:dyDescent="0.25">
      <c r="A97" s="4" t="s">
        <v>122</v>
      </c>
      <c r="B97" s="5">
        <v>1</v>
      </c>
      <c r="C97" s="5">
        <v>366</v>
      </c>
      <c r="D97" s="5">
        <v>1</v>
      </c>
      <c r="E97" s="6">
        <v>0</v>
      </c>
      <c r="F97" s="6">
        <v>0</v>
      </c>
      <c r="G97" s="5">
        <v>1</v>
      </c>
      <c r="H97" s="6">
        <v>0</v>
      </c>
      <c r="I97" s="5">
        <v>1122</v>
      </c>
      <c r="J97" s="5">
        <v>1</v>
      </c>
      <c r="K97" s="5">
        <v>25</v>
      </c>
      <c r="L97" s="6">
        <v>0</v>
      </c>
      <c r="M97" s="5">
        <v>1</v>
      </c>
      <c r="N97" s="6">
        <v>0</v>
      </c>
      <c r="O97" s="6">
        <v>0</v>
      </c>
      <c r="P97" s="5">
        <v>4</v>
      </c>
      <c r="Q97" s="6">
        <v>0</v>
      </c>
      <c r="R97" s="6">
        <v>0</v>
      </c>
      <c r="S97" s="5">
        <v>733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5">
        <v>1</v>
      </c>
      <c r="AA97" s="6">
        <v>0</v>
      </c>
      <c r="AB97" s="6">
        <v>0</v>
      </c>
      <c r="AC97" s="5">
        <v>2256</v>
      </c>
    </row>
    <row r="98" spans="1:29" x14ac:dyDescent="0.25">
      <c r="A98" s="4" t="s">
        <v>123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5">
        <v>397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5">
        <v>27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5">
        <v>424</v>
      </c>
    </row>
    <row r="99" spans="1:29" x14ac:dyDescent="0.25">
      <c r="A99" s="4" t="s">
        <v>124</v>
      </c>
      <c r="B99" s="5">
        <v>1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5">
        <v>1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5">
        <v>2</v>
      </c>
    </row>
    <row r="100" spans="1:29" x14ac:dyDescent="0.25">
      <c r="A100" s="4" t="s">
        <v>125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</row>
    <row r="101" spans="1:29" x14ac:dyDescent="0.25">
      <c r="A101" s="4" t="s">
        <v>126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5">
        <v>342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5">
        <v>342</v>
      </c>
    </row>
    <row r="102" spans="1:29" x14ac:dyDescent="0.25">
      <c r="A102" s="4" t="s">
        <v>127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</row>
    <row r="103" spans="1:29" x14ac:dyDescent="0.25">
      <c r="A103" s="4" t="s">
        <v>128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5">
        <v>4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5">
        <v>1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5">
        <v>5</v>
      </c>
    </row>
    <row r="104" spans="1:29" x14ac:dyDescent="0.25">
      <c r="A104" s="4" t="s">
        <v>129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5">
        <v>1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5">
        <v>1</v>
      </c>
    </row>
    <row r="105" spans="1:29" x14ac:dyDescent="0.25">
      <c r="A105" s="4" t="s">
        <v>130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</row>
    <row r="106" spans="1:29" x14ac:dyDescent="0.25">
      <c r="A106" s="4" t="s">
        <v>131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5">
        <v>1</v>
      </c>
      <c r="H106" s="6">
        <v>0</v>
      </c>
      <c r="I106" s="5">
        <v>1705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5">
        <v>284</v>
      </c>
      <c r="Q106" s="6">
        <v>0</v>
      </c>
      <c r="R106" s="6">
        <v>0</v>
      </c>
      <c r="S106" s="5">
        <v>282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5">
        <v>2272</v>
      </c>
    </row>
    <row r="107" spans="1:29" x14ac:dyDescent="0.25">
      <c r="A107" s="4" t="s">
        <v>132</v>
      </c>
      <c r="B107" s="5">
        <v>135</v>
      </c>
      <c r="C107" s="5">
        <v>67</v>
      </c>
      <c r="D107" s="6">
        <v>0</v>
      </c>
      <c r="E107" s="6">
        <v>0</v>
      </c>
      <c r="F107" s="6">
        <v>0</v>
      </c>
      <c r="G107" s="5">
        <v>450</v>
      </c>
      <c r="H107" s="6">
        <v>0</v>
      </c>
      <c r="I107" s="5">
        <v>352</v>
      </c>
      <c r="J107" s="6">
        <v>0</v>
      </c>
      <c r="K107" s="5">
        <v>2</v>
      </c>
      <c r="L107" s="5">
        <v>59</v>
      </c>
      <c r="M107" s="5">
        <v>76</v>
      </c>
      <c r="N107" s="5">
        <v>15</v>
      </c>
      <c r="O107" s="5">
        <v>36</v>
      </c>
      <c r="P107" s="5">
        <v>9</v>
      </c>
      <c r="Q107" s="6">
        <v>0</v>
      </c>
      <c r="R107" s="6">
        <v>0</v>
      </c>
      <c r="S107" s="5">
        <v>444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5">
        <v>364</v>
      </c>
      <c r="AA107" s="6">
        <v>0</v>
      </c>
      <c r="AB107" s="6">
        <v>0</v>
      </c>
      <c r="AC107" s="5">
        <v>2009</v>
      </c>
    </row>
    <row r="108" spans="1:29" x14ac:dyDescent="0.25">
      <c r="A108" s="4" t="s">
        <v>133</v>
      </c>
      <c r="B108" s="5">
        <v>200</v>
      </c>
      <c r="C108" s="5">
        <v>451</v>
      </c>
      <c r="D108" s="5">
        <v>5</v>
      </c>
      <c r="E108" s="5">
        <v>58</v>
      </c>
      <c r="F108" s="5">
        <v>12</v>
      </c>
      <c r="G108" s="5">
        <v>399</v>
      </c>
      <c r="H108" s="5">
        <v>25</v>
      </c>
      <c r="I108" s="5">
        <v>2545</v>
      </c>
      <c r="J108" s="5">
        <v>3</v>
      </c>
      <c r="K108" s="5">
        <v>134</v>
      </c>
      <c r="L108" s="5">
        <v>269</v>
      </c>
      <c r="M108" s="5">
        <v>171</v>
      </c>
      <c r="N108" s="5">
        <v>80</v>
      </c>
      <c r="O108" s="5">
        <v>716</v>
      </c>
      <c r="P108" s="5">
        <v>29</v>
      </c>
      <c r="Q108" s="6">
        <v>0</v>
      </c>
      <c r="R108" s="5">
        <v>6</v>
      </c>
      <c r="S108" s="5">
        <v>2479</v>
      </c>
      <c r="T108" s="5">
        <v>2</v>
      </c>
      <c r="U108" s="5">
        <v>96</v>
      </c>
      <c r="V108" s="5">
        <v>32</v>
      </c>
      <c r="W108" s="5">
        <v>2</v>
      </c>
      <c r="X108" s="6">
        <v>0</v>
      </c>
      <c r="Y108" s="5">
        <v>2</v>
      </c>
      <c r="Z108" s="5">
        <v>560</v>
      </c>
      <c r="AA108" s="6">
        <v>0</v>
      </c>
      <c r="AB108" s="6">
        <v>0</v>
      </c>
      <c r="AC108" s="5">
        <v>8276</v>
      </c>
    </row>
    <row r="109" spans="1:29" x14ac:dyDescent="0.25">
      <c r="A109" s="4" t="s">
        <v>134</v>
      </c>
      <c r="B109" s="6">
        <v>0</v>
      </c>
      <c r="C109" s="5">
        <v>26</v>
      </c>
      <c r="D109" s="6">
        <v>0</v>
      </c>
      <c r="E109" s="6">
        <v>0</v>
      </c>
      <c r="F109" s="6">
        <v>0</v>
      </c>
      <c r="G109" s="5">
        <v>198</v>
      </c>
      <c r="H109" s="6">
        <v>0</v>
      </c>
      <c r="I109" s="5">
        <v>453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5">
        <v>115</v>
      </c>
      <c r="P109" s="6">
        <v>0</v>
      </c>
      <c r="Q109" s="6">
        <v>0</v>
      </c>
      <c r="R109" s="6">
        <v>0</v>
      </c>
      <c r="S109" s="5">
        <v>148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5">
        <v>940</v>
      </c>
    </row>
    <row r="110" spans="1:29" x14ac:dyDescent="0.25">
      <c r="A110" s="4" t="s">
        <v>135</v>
      </c>
      <c r="B110" s="5">
        <v>1</v>
      </c>
      <c r="C110" s="5">
        <v>5</v>
      </c>
      <c r="D110" s="6">
        <v>0</v>
      </c>
      <c r="E110" s="6">
        <v>0</v>
      </c>
      <c r="F110" s="6">
        <v>0</v>
      </c>
      <c r="G110" s="5">
        <v>2</v>
      </c>
      <c r="H110" s="6">
        <v>0</v>
      </c>
      <c r="I110" s="5">
        <v>552</v>
      </c>
      <c r="J110" s="5">
        <v>1</v>
      </c>
      <c r="K110" s="5">
        <v>197</v>
      </c>
      <c r="L110" s="6">
        <v>0</v>
      </c>
      <c r="M110" s="5">
        <v>1</v>
      </c>
      <c r="N110" s="6">
        <v>0</v>
      </c>
      <c r="O110" s="5">
        <v>2</v>
      </c>
      <c r="P110" s="5">
        <v>9</v>
      </c>
      <c r="Q110" s="6">
        <v>0</v>
      </c>
      <c r="R110" s="6">
        <v>0</v>
      </c>
      <c r="S110" s="5">
        <v>80</v>
      </c>
      <c r="T110" s="6">
        <v>0</v>
      </c>
      <c r="U110" s="6">
        <v>0</v>
      </c>
      <c r="V110" s="5">
        <v>2</v>
      </c>
      <c r="W110" s="6">
        <v>0</v>
      </c>
      <c r="X110" s="6">
        <v>0</v>
      </c>
      <c r="Y110" s="6">
        <v>0</v>
      </c>
      <c r="Z110" s="5">
        <v>1</v>
      </c>
      <c r="AA110" s="6">
        <v>0</v>
      </c>
      <c r="AB110" s="6">
        <v>0</v>
      </c>
      <c r="AC110" s="5">
        <v>853</v>
      </c>
    </row>
    <row r="111" spans="1:29" x14ac:dyDescent="0.25">
      <c r="A111" s="4" t="s">
        <v>136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</row>
    <row r="112" spans="1:29" x14ac:dyDescent="0.25">
      <c r="A112" s="4" t="s">
        <v>137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</row>
    <row r="113" spans="1:29" x14ac:dyDescent="0.25">
      <c r="A113" s="4" t="s">
        <v>138</v>
      </c>
      <c r="B113" s="5">
        <v>373</v>
      </c>
      <c r="C113" s="5">
        <v>647</v>
      </c>
      <c r="D113" s="5">
        <v>158</v>
      </c>
      <c r="E113" s="5">
        <v>103</v>
      </c>
      <c r="F113" s="6">
        <v>0</v>
      </c>
      <c r="G113" s="5">
        <v>258</v>
      </c>
      <c r="H113" s="6">
        <v>0</v>
      </c>
      <c r="I113" s="5">
        <v>1032</v>
      </c>
      <c r="J113" s="6">
        <v>0</v>
      </c>
      <c r="K113" s="5">
        <v>108</v>
      </c>
      <c r="L113" s="5">
        <v>498</v>
      </c>
      <c r="M113" s="5">
        <v>9</v>
      </c>
      <c r="N113" s="5">
        <v>2</v>
      </c>
      <c r="O113" s="5">
        <v>155</v>
      </c>
      <c r="P113" s="5">
        <v>20</v>
      </c>
      <c r="Q113" s="6">
        <v>0</v>
      </c>
      <c r="R113" s="6">
        <v>0</v>
      </c>
      <c r="S113" s="5">
        <v>574</v>
      </c>
      <c r="T113" s="6">
        <v>0</v>
      </c>
      <c r="U113" s="6">
        <v>0</v>
      </c>
      <c r="V113" s="5">
        <v>4</v>
      </c>
      <c r="W113" s="5">
        <v>1</v>
      </c>
      <c r="X113" s="6">
        <v>0</v>
      </c>
      <c r="Y113" s="5">
        <v>1</v>
      </c>
      <c r="Z113" s="5">
        <v>1</v>
      </c>
      <c r="AA113" s="6">
        <v>0</v>
      </c>
      <c r="AB113" s="6">
        <v>0</v>
      </c>
      <c r="AC113" s="5">
        <v>3944</v>
      </c>
    </row>
    <row r="114" spans="1:29" x14ac:dyDescent="0.25">
      <c r="A114" s="4" t="s">
        <v>139</v>
      </c>
      <c r="B114" s="5">
        <v>172</v>
      </c>
      <c r="C114" s="5">
        <v>5</v>
      </c>
      <c r="D114" s="6">
        <v>0</v>
      </c>
      <c r="E114" s="6">
        <v>0</v>
      </c>
      <c r="F114" s="5">
        <v>1</v>
      </c>
      <c r="G114" s="5">
        <v>116</v>
      </c>
      <c r="H114" s="6">
        <v>0</v>
      </c>
      <c r="I114" s="5">
        <v>883</v>
      </c>
      <c r="J114" s="5">
        <v>3</v>
      </c>
      <c r="K114" s="6">
        <v>0</v>
      </c>
      <c r="L114" s="5">
        <v>82</v>
      </c>
      <c r="M114" s="6">
        <v>0</v>
      </c>
      <c r="N114" s="5">
        <v>1</v>
      </c>
      <c r="O114" s="5">
        <v>1</v>
      </c>
      <c r="P114" s="6">
        <v>0</v>
      </c>
      <c r="Q114" s="6">
        <v>0</v>
      </c>
      <c r="R114" s="6">
        <v>0</v>
      </c>
      <c r="S114" s="5">
        <v>63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5">
        <v>1327</v>
      </c>
    </row>
    <row r="115" spans="1:29" x14ac:dyDescent="0.25">
      <c r="A115" s="4" t="s">
        <v>140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</row>
    <row r="116" spans="1:29" x14ac:dyDescent="0.25">
      <c r="A116" s="4" t="s">
        <v>141</v>
      </c>
      <c r="B116" s="5">
        <v>1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5">
        <v>3</v>
      </c>
      <c r="L116" s="6">
        <v>0</v>
      </c>
      <c r="M116" s="6">
        <v>0</v>
      </c>
      <c r="N116" s="6">
        <v>0</v>
      </c>
      <c r="O116" s="5">
        <v>2</v>
      </c>
      <c r="P116" s="5">
        <v>6</v>
      </c>
      <c r="Q116" s="6">
        <v>0</v>
      </c>
      <c r="R116" s="6">
        <v>0</v>
      </c>
      <c r="S116" s="5">
        <v>1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5">
        <v>2</v>
      </c>
      <c r="AA116" s="6">
        <v>0</v>
      </c>
      <c r="AB116" s="6">
        <v>0</v>
      </c>
      <c r="AC116" s="5">
        <v>15</v>
      </c>
    </row>
    <row r="117" spans="1:29" x14ac:dyDescent="0.25">
      <c r="A117" s="4" t="s">
        <v>142</v>
      </c>
      <c r="B117" s="5">
        <v>66</v>
      </c>
      <c r="C117" s="5">
        <v>193</v>
      </c>
      <c r="D117" s="5">
        <v>104</v>
      </c>
      <c r="E117" s="5">
        <v>131</v>
      </c>
      <c r="F117" s="6">
        <v>0</v>
      </c>
      <c r="G117" s="5">
        <v>4</v>
      </c>
      <c r="H117" s="6">
        <v>0</v>
      </c>
      <c r="I117" s="5">
        <v>713</v>
      </c>
      <c r="J117" s="5">
        <v>1</v>
      </c>
      <c r="K117" s="5">
        <v>290</v>
      </c>
      <c r="L117" s="5">
        <v>10</v>
      </c>
      <c r="M117" s="5">
        <v>1</v>
      </c>
      <c r="N117" s="5">
        <v>1</v>
      </c>
      <c r="O117" s="5">
        <v>2</v>
      </c>
      <c r="P117" s="5">
        <v>261</v>
      </c>
      <c r="Q117" s="6">
        <v>0</v>
      </c>
      <c r="R117" s="5">
        <v>102</v>
      </c>
      <c r="S117" s="5">
        <v>7</v>
      </c>
      <c r="T117" s="6">
        <v>0</v>
      </c>
      <c r="U117" s="6">
        <v>0</v>
      </c>
      <c r="V117" s="5">
        <v>4</v>
      </c>
      <c r="W117" s="5">
        <v>2</v>
      </c>
      <c r="X117" s="5">
        <v>1</v>
      </c>
      <c r="Y117" s="5">
        <v>1</v>
      </c>
      <c r="Z117" s="5">
        <v>2</v>
      </c>
      <c r="AA117" s="6">
        <v>0</v>
      </c>
      <c r="AB117" s="6">
        <v>0</v>
      </c>
      <c r="AC117" s="5">
        <v>1896</v>
      </c>
    </row>
    <row r="118" spans="1:29" x14ac:dyDescent="0.25">
      <c r="A118" s="4" t="s">
        <v>143</v>
      </c>
      <c r="B118" s="5">
        <v>13</v>
      </c>
      <c r="C118" s="5">
        <v>628</v>
      </c>
      <c r="D118" s="5">
        <v>2</v>
      </c>
      <c r="E118" s="5">
        <v>18</v>
      </c>
      <c r="F118" s="5">
        <v>2</v>
      </c>
      <c r="G118" s="5">
        <v>83</v>
      </c>
      <c r="H118" s="5">
        <v>1</v>
      </c>
      <c r="I118" s="5">
        <v>1448</v>
      </c>
      <c r="J118" s="5">
        <v>4</v>
      </c>
      <c r="K118" s="5">
        <v>4</v>
      </c>
      <c r="L118" s="5">
        <v>38</v>
      </c>
      <c r="M118" s="5">
        <v>10</v>
      </c>
      <c r="N118" s="5">
        <v>4</v>
      </c>
      <c r="O118" s="5">
        <v>6</v>
      </c>
      <c r="P118" s="5">
        <v>43</v>
      </c>
      <c r="Q118" s="6">
        <v>0</v>
      </c>
      <c r="R118" s="5">
        <v>1</v>
      </c>
      <c r="S118" s="5">
        <v>2376</v>
      </c>
      <c r="T118" s="5">
        <v>6</v>
      </c>
      <c r="U118" s="5">
        <v>1</v>
      </c>
      <c r="V118" s="5">
        <v>1</v>
      </c>
      <c r="W118" s="5">
        <v>13</v>
      </c>
      <c r="X118" s="6">
        <v>0</v>
      </c>
      <c r="Y118" s="5">
        <v>629</v>
      </c>
      <c r="Z118" s="5">
        <v>5</v>
      </c>
      <c r="AA118" s="5">
        <v>5</v>
      </c>
      <c r="AB118" s="6">
        <v>0</v>
      </c>
      <c r="AC118" s="5">
        <v>5341</v>
      </c>
    </row>
    <row r="119" spans="1:29" x14ac:dyDescent="0.25">
      <c r="A119" s="4" t="s">
        <v>144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</row>
    <row r="120" spans="1:29" x14ac:dyDescent="0.25">
      <c r="A120" s="4" t="s">
        <v>145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</row>
    <row r="121" spans="1:29" x14ac:dyDescent="0.25">
      <c r="A121" s="4" t="s">
        <v>146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5">
        <v>1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5">
        <v>1</v>
      </c>
    </row>
    <row r="122" spans="1:29" x14ac:dyDescent="0.25">
      <c r="A122" s="4" t="s">
        <v>147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5">
        <v>28</v>
      </c>
      <c r="J122" s="6">
        <v>0</v>
      </c>
      <c r="K122" s="5">
        <v>13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5">
        <v>41</v>
      </c>
    </row>
    <row r="123" spans="1:29" x14ac:dyDescent="0.25">
      <c r="A123" s="4" t="s">
        <v>148</v>
      </c>
      <c r="B123" s="5">
        <v>1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5">
        <v>153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5">
        <v>154</v>
      </c>
    </row>
    <row r="124" spans="1:29" x14ac:dyDescent="0.25">
      <c r="A124" s="4" t="s">
        <v>149</v>
      </c>
      <c r="B124" s="5">
        <v>1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5">
        <v>69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5">
        <v>70</v>
      </c>
    </row>
    <row r="125" spans="1:29" x14ac:dyDescent="0.25">
      <c r="A125" s="4" t="s">
        <v>150</v>
      </c>
      <c r="B125" s="5">
        <v>92</v>
      </c>
      <c r="C125" s="5">
        <v>166</v>
      </c>
      <c r="D125" s="5">
        <v>1</v>
      </c>
      <c r="E125" s="5">
        <v>1</v>
      </c>
      <c r="F125" s="6">
        <v>0</v>
      </c>
      <c r="G125" s="5">
        <v>162</v>
      </c>
      <c r="H125" s="5">
        <v>1</v>
      </c>
      <c r="I125" s="5">
        <v>841</v>
      </c>
      <c r="J125" s="6">
        <v>0</v>
      </c>
      <c r="K125" s="6">
        <v>0</v>
      </c>
      <c r="L125" s="5">
        <v>67</v>
      </c>
      <c r="M125" s="5">
        <v>25</v>
      </c>
      <c r="N125" s="5">
        <v>83</v>
      </c>
      <c r="O125" s="5">
        <v>210</v>
      </c>
      <c r="P125" s="5">
        <v>8</v>
      </c>
      <c r="Q125" s="6">
        <v>0</v>
      </c>
      <c r="R125" s="6">
        <v>0</v>
      </c>
      <c r="S125" s="5">
        <v>547</v>
      </c>
      <c r="T125" s="6">
        <v>0</v>
      </c>
      <c r="U125" s="5">
        <v>65</v>
      </c>
      <c r="V125" s="5">
        <v>43</v>
      </c>
      <c r="W125" s="5">
        <v>1</v>
      </c>
      <c r="X125" s="6">
        <v>0</v>
      </c>
      <c r="Y125" s="5">
        <v>1</v>
      </c>
      <c r="Z125" s="5">
        <v>25</v>
      </c>
      <c r="AA125" s="5">
        <v>1</v>
      </c>
      <c r="AB125" s="6">
        <v>0</v>
      </c>
      <c r="AC125" s="5">
        <v>2340</v>
      </c>
    </row>
    <row r="126" spans="1:29" x14ac:dyDescent="0.25">
      <c r="A126" s="4" t="s">
        <v>151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</row>
    <row r="127" spans="1:29" x14ac:dyDescent="0.25">
      <c r="A127" s="4" t="s">
        <v>152</v>
      </c>
      <c r="B127" s="5">
        <v>71</v>
      </c>
      <c r="C127" s="5">
        <v>147</v>
      </c>
      <c r="D127" s="6">
        <v>0</v>
      </c>
      <c r="E127" s="5">
        <v>1</v>
      </c>
      <c r="F127" s="6">
        <v>0</v>
      </c>
      <c r="G127" s="5">
        <v>161</v>
      </c>
      <c r="H127" s="6">
        <v>0</v>
      </c>
      <c r="I127" s="5">
        <v>876</v>
      </c>
      <c r="J127" s="6">
        <v>0</v>
      </c>
      <c r="K127" s="5">
        <v>404</v>
      </c>
      <c r="L127" s="5">
        <v>58</v>
      </c>
      <c r="M127" s="5">
        <v>64</v>
      </c>
      <c r="N127" s="5">
        <v>6</v>
      </c>
      <c r="O127" s="5">
        <v>340</v>
      </c>
      <c r="P127" s="5">
        <v>57</v>
      </c>
      <c r="Q127" s="6">
        <v>0</v>
      </c>
      <c r="R127" s="6">
        <v>0</v>
      </c>
      <c r="S127" s="5">
        <v>441</v>
      </c>
      <c r="T127" s="6">
        <v>0</v>
      </c>
      <c r="U127" s="5">
        <v>366</v>
      </c>
      <c r="V127" s="6">
        <v>0</v>
      </c>
      <c r="W127" s="5">
        <v>1</v>
      </c>
      <c r="X127" s="6">
        <v>0</v>
      </c>
      <c r="Y127" s="6">
        <v>0</v>
      </c>
      <c r="Z127" s="5">
        <v>5</v>
      </c>
      <c r="AA127" s="6">
        <v>0</v>
      </c>
      <c r="AB127" s="6">
        <v>0</v>
      </c>
      <c r="AC127" s="5">
        <v>2998</v>
      </c>
    </row>
    <row r="128" spans="1:29" x14ac:dyDescent="0.25">
      <c r="A128" s="4" t="s">
        <v>153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5">
        <v>26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5">
        <v>1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5">
        <v>27</v>
      </c>
    </row>
    <row r="129" spans="1:29" x14ac:dyDescent="0.25">
      <c r="A129" s="4" t="s">
        <v>154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</row>
    <row r="130" spans="1:29" x14ac:dyDescent="0.25">
      <c r="A130" s="4" t="s">
        <v>155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5">
        <v>227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5">
        <v>37</v>
      </c>
      <c r="P130" s="6">
        <v>0</v>
      </c>
      <c r="Q130" s="6">
        <v>0</v>
      </c>
      <c r="R130" s="6">
        <v>0</v>
      </c>
      <c r="S130" s="5">
        <v>31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5">
        <v>295</v>
      </c>
    </row>
    <row r="131" spans="1:29" x14ac:dyDescent="0.25">
      <c r="A131" s="4" t="s">
        <v>156</v>
      </c>
      <c r="B131" s="5">
        <v>83</v>
      </c>
      <c r="C131" s="5">
        <v>1</v>
      </c>
      <c r="D131" s="6">
        <v>0</v>
      </c>
      <c r="E131" s="5">
        <v>157</v>
      </c>
      <c r="F131" s="6">
        <v>0</v>
      </c>
      <c r="G131" s="5">
        <v>54</v>
      </c>
      <c r="H131" s="6">
        <v>0</v>
      </c>
      <c r="I131" s="5">
        <v>9</v>
      </c>
      <c r="J131" s="5">
        <v>103</v>
      </c>
      <c r="K131" s="5">
        <v>123</v>
      </c>
      <c r="L131" s="5">
        <v>73</v>
      </c>
      <c r="M131" s="5">
        <v>18</v>
      </c>
      <c r="N131" s="5">
        <v>2</v>
      </c>
      <c r="O131" s="5">
        <v>149</v>
      </c>
      <c r="P131" s="5">
        <v>2</v>
      </c>
      <c r="Q131" s="6">
        <v>0</v>
      </c>
      <c r="R131" s="5">
        <v>156</v>
      </c>
      <c r="S131" s="5">
        <v>3</v>
      </c>
      <c r="T131" s="5">
        <v>1</v>
      </c>
      <c r="U131" s="6">
        <v>0</v>
      </c>
      <c r="V131" s="5">
        <v>104</v>
      </c>
      <c r="W131" s="5">
        <v>7</v>
      </c>
      <c r="X131" s="6">
        <v>0</v>
      </c>
      <c r="Y131" s="6">
        <v>0</v>
      </c>
      <c r="Z131" s="5">
        <v>2</v>
      </c>
      <c r="AA131" s="6">
        <v>0</v>
      </c>
      <c r="AB131" s="6">
        <v>0</v>
      </c>
      <c r="AC131" s="5">
        <v>1047</v>
      </c>
    </row>
    <row r="132" spans="1:29" x14ac:dyDescent="0.25">
      <c r="A132" s="4" t="s">
        <v>157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5">
        <v>113</v>
      </c>
      <c r="H132" s="6">
        <v>0</v>
      </c>
      <c r="I132" s="5">
        <v>770</v>
      </c>
      <c r="J132" s="5">
        <v>2</v>
      </c>
      <c r="K132" s="6">
        <v>0</v>
      </c>
      <c r="L132" s="6">
        <v>0</v>
      </c>
      <c r="M132" s="6">
        <v>0</v>
      </c>
      <c r="N132" s="6">
        <v>0</v>
      </c>
      <c r="O132" s="5">
        <v>104</v>
      </c>
      <c r="P132" s="6">
        <v>0</v>
      </c>
      <c r="Q132" s="6">
        <v>0</v>
      </c>
      <c r="R132" s="6">
        <v>0</v>
      </c>
      <c r="S132" s="5">
        <v>329</v>
      </c>
      <c r="T132" s="6">
        <v>0</v>
      </c>
      <c r="U132" s="6">
        <v>0</v>
      </c>
      <c r="V132" s="5">
        <v>1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5">
        <v>1319</v>
      </c>
    </row>
    <row r="133" spans="1:29" x14ac:dyDescent="0.25">
      <c r="A133" s="4" t="s">
        <v>158</v>
      </c>
      <c r="B133" s="5">
        <v>3</v>
      </c>
      <c r="C133" s="6">
        <v>0</v>
      </c>
      <c r="D133" s="6">
        <v>0</v>
      </c>
      <c r="E133" s="6">
        <v>0</v>
      </c>
      <c r="F133" s="6">
        <v>0</v>
      </c>
      <c r="G133" s="5">
        <v>1</v>
      </c>
      <c r="H133" s="6">
        <v>0</v>
      </c>
      <c r="I133" s="5">
        <v>249</v>
      </c>
      <c r="J133" s="6">
        <v>0</v>
      </c>
      <c r="K133" s="6">
        <v>0</v>
      </c>
      <c r="L133" s="6">
        <v>0</v>
      </c>
      <c r="M133" s="6">
        <v>0</v>
      </c>
      <c r="N133" s="5">
        <v>1</v>
      </c>
      <c r="O133" s="6">
        <v>0</v>
      </c>
      <c r="P133" s="6">
        <v>0</v>
      </c>
      <c r="Q133" s="6">
        <v>0</v>
      </c>
      <c r="R133" s="6">
        <v>0</v>
      </c>
      <c r="S133" s="5">
        <v>357</v>
      </c>
      <c r="T133" s="6">
        <v>0</v>
      </c>
      <c r="U133" s="6">
        <v>0</v>
      </c>
      <c r="V133" s="5">
        <v>1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5">
        <v>612</v>
      </c>
    </row>
    <row r="134" spans="1:29" x14ac:dyDescent="0.25">
      <c r="A134" s="4" t="s">
        <v>159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</row>
    <row r="135" spans="1:29" x14ac:dyDescent="0.25">
      <c r="A135" s="4" t="s">
        <v>160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5">
        <v>21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5">
        <v>21</v>
      </c>
    </row>
    <row r="136" spans="1:29" x14ac:dyDescent="0.25">
      <c r="A136" s="4" t="s">
        <v>161</v>
      </c>
      <c r="B136" s="5">
        <v>36</v>
      </c>
      <c r="C136" s="6">
        <v>0</v>
      </c>
      <c r="D136" s="6">
        <v>0</v>
      </c>
      <c r="E136" s="5">
        <v>2</v>
      </c>
      <c r="F136" s="6">
        <v>0</v>
      </c>
      <c r="G136" s="5">
        <v>48</v>
      </c>
      <c r="H136" s="6">
        <v>0</v>
      </c>
      <c r="I136" s="5">
        <v>174</v>
      </c>
      <c r="J136" s="6">
        <v>0</v>
      </c>
      <c r="K136" s="5">
        <v>2</v>
      </c>
      <c r="L136" s="6">
        <v>0</v>
      </c>
      <c r="M136" s="5">
        <v>1</v>
      </c>
      <c r="N136" s="5">
        <v>3</v>
      </c>
      <c r="O136" s="5">
        <v>3</v>
      </c>
      <c r="P136" s="6">
        <v>0</v>
      </c>
      <c r="Q136" s="6">
        <v>0</v>
      </c>
      <c r="R136" s="5">
        <v>37</v>
      </c>
      <c r="S136" s="5">
        <v>17</v>
      </c>
      <c r="T136" s="6">
        <v>0</v>
      </c>
      <c r="U136" s="6">
        <v>0</v>
      </c>
      <c r="V136" s="6">
        <v>0</v>
      </c>
      <c r="W136" s="5">
        <v>4</v>
      </c>
      <c r="X136" s="5">
        <v>1</v>
      </c>
      <c r="Y136" s="6">
        <v>0</v>
      </c>
      <c r="Z136" s="5">
        <v>1</v>
      </c>
      <c r="AA136" s="6">
        <v>0</v>
      </c>
      <c r="AB136" s="6">
        <v>0</v>
      </c>
      <c r="AC136" s="5">
        <v>329</v>
      </c>
    </row>
    <row r="137" spans="1:29" x14ac:dyDescent="0.25">
      <c r="A137" s="4" t="s">
        <v>162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</row>
    <row r="138" spans="1:29" x14ac:dyDescent="0.25">
      <c r="A138" s="4" t="s">
        <v>163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</row>
    <row r="139" spans="1:29" x14ac:dyDescent="0.25">
      <c r="A139" s="4" t="s">
        <v>164</v>
      </c>
      <c r="B139" s="6">
        <v>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5">
        <v>437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5">
        <v>17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5">
        <v>454</v>
      </c>
    </row>
    <row r="140" spans="1:29" x14ac:dyDescent="0.25">
      <c r="A140" s="4" t="s">
        <v>165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</row>
    <row r="141" spans="1:29" x14ac:dyDescent="0.25">
      <c r="A141" s="4" t="s">
        <v>166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</row>
    <row r="142" spans="1:29" x14ac:dyDescent="0.25">
      <c r="A142" s="4" t="s">
        <v>167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</row>
    <row r="143" spans="1:29" x14ac:dyDescent="0.25">
      <c r="A143" s="4" t="s">
        <v>168</v>
      </c>
      <c r="B143" s="6">
        <v>0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</row>
    <row r="144" spans="1:29" x14ac:dyDescent="0.25">
      <c r="A144" s="4" t="s">
        <v>169</v>
      </c>
      <c r="B144" s="5">
        <v>1</v>
      </c>
      <c r="C144" s="6">
        <v>0</v>
      </c>
      <c r="D144" s="6">
        <v>0</v>
      </c>
      <c r="E144" s="6">
        <v>0</v>
      </c>
      <c r="F144" s="6">
        <v>0</v>
      </c>
      <c r="G144" s="5">
        <v>78</v>
      </c>
      <c r="H144" s="6">
        <v>0</v>
      </c>
      <c r="I144" s="5">
        <v>1</v>
      </c>
      <c r="J144" s="6">
        <v>0</v>
      </c>
      <c r="K144" s="6">
        <v>0</v>
      </c>
      <c r="L144" s="5">
        <v>1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5">
        <v>2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5">
        <v>83</v>
      </c>
    </row>
    <row r="145" spans="1:29" x14ac:dyDescent="0.25">
      <c r="A145" s="4" t="s">
        <v>170</v>
      </c>
      <c r="B145" s="5">
        <v>1378</v>
      </c>
      <c r="C145" s="5">
        <v>2268</v>
      </c>
      <c r="D145" s="5">
        <v>1206</v>
      </c>
      <c r="E145" s="5">
        <v>25</v>
      </c>
      <c r="F145" s="5">
        <v>227</v>
      </c>
      <c r="G145" s="5">
        <v>1792</v>
      </c>
      <c r="H145" s="5">
        <v>8</v>
      </c>
      <c r="I145" s="5">
        <v>4192</v>
      </c>
      <c r="J145" s="5">
        <v>17</v>
      </c>
      <c r="K145" s="5">
        <v>53</v>
      </c>
      <c r="L145" s="5">
        <v>2608</v>
      </c>
      <c r="M145" s="5">
        <v>1408</v>
      </c>
      <c r="N145" s="5">
        <v>14</v>
      </c>
      <c r="O145" s="5">
        <v>85</v>
      </c>
      <c r="P145" s="5">
        <v>366</v>
      </c>
      <c r="Q145" s="6">
        <v>0</v>
      </c>
      <c r="R145" s="5">
        <v>9</v>
      </c>
      <c r="S145" s="5">
        <v>5167</v>
      </c>
      <c r="T145" s="5">
        <v>67</v>
      </c>
      <c r="U145" s="5">
        <v>86</v>
      </c>
      <c r="V145" s="5">
        <v>1223</v>
      </c>
      <c r="W145" s="5">
        <v>15</v>
      </c>
      <c r="X145" s="5">
        <v>4</v>
      </c>
      <c r="Y145" s="5">
        <v>20</v>
      </c>
      <c r="Z145" s="5">
        <v>1933</v>
      </c>
      <c r="AA145" s="5">
        <v>15</v>
      </c>
      <c r="AB145" s="6">
        <v>0</v>
      </c>
      <c r="AC145" s="5">
        <v>24186</v>
      </c>
    </row>
    <row r="146" spans="1:29" x14ac:dyDescent="0.25">
      <c r="A146" s="4" t="s">
        <v>171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5">
        <v>1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5">
        <v>1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5">
        <v>2</v>
      </c>
    </row>
    <row r="147" spans="1:29" x14ac:dyDescent="0.25">
      <c r="A147" s="4" t="s">
        <v>172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5">
        <v>1</v>
      </c>
      <c r="H147" s="6">
        <v>0</v>
      </c>
      <c r="I147" s="5">
        <v>689</v>
      </c>
      <c r="J147" s="6">
        <v>0</v>
      </c>
      <c r="K147" s="5">
        <v>2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5">
        <v>1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5">
        <v>693</v>
      </c>
    </row>
    <row r="148" spans="1:29" x14ac:dyDescent="0.25">
      <c r="A148" s="4" t="s">
        <v>173</v>
      </c>
      <c r="B148" s="5">
        <v>1349</v>
      </c>
      <c r="C148" s="5">
        <v>372</v>
      </c>
      <c r="D148" s="5">
        <v>31</v>
      </c>
      <c r="E148" s="5">
        <v>2</v>
      </c>
      <c r="F148" s="6">
        <v>0</v>
      </c>
      <c r="G148" s="5">
        <v>311</v>
      </c>
      <c r="H148" s="5">
        <v>2</v>
      </c>
      <c r="I148" s="5">
        <v>1789</v>
      </c>
      <c r="J148" s="5">
        <v>3</v>
      </c>
      <c r="K148" s="5">
        <v>5</v>
      </c>
      <c r="L148" s="5">
        <v>968</v>
      </c>
      <c r="M148" s="5">
        <v>6</v>
      </c>
      <c r="N148" s="5">
        <v>1</v>
      </c>
      <c r="O148" s="5">
        <v>9</v>
      </c>
      <c r="P148" s="5">
        <v>55</v>
      </c>
      <c r="Q148" s="6">
        <v>0</v>
      </c>
      <c r="R148" s="5">
        <v>2</v>
      </c>
      <c r="S148" s="5">
        <v>1505</v>
      </c>
      <c r="T148" s="5">
        <v>4</v>
      </c>
      <c r="U148" s="6">
        <v>0</v>
      </c>
      <c r="V148" s="5">
        <v>1</v>
      </c>
      <c r="W148" s="5">
        <v>2</v>
      </c>
      <c r="X148" s="5">
        <v>1</v>
      </c>
      <c r="Y148" s="5">
        <v>3</v>
      </c>
      <c r="Z148" s="5">
        <v>2</v>
      </c>
      <c r="AA148" s="5">
        <v>2</v>
      </c>
      <c r="AB148" s="6">
        <v>0</v>
      </c>
      <c r="AC148" s="5">
        <v>6425</v>
      </c>
    </row>
    <row r="149" spans="1:29" x14ac:dyDescent="0.25">
      <c r="A149" s="4" t="s">
        <v>174</v>
      </c>
      <c r="B149" s="5">
        <v>634</v>
      </c>
      <c r="C149" s="5">
        <v>4615</v>
      </c>
      <c r="D149" s="5">
        <v>63</v>
      </c>
      <c r="E149" s="5">
        <v>46</v>
      </c>
      <c r="F149" s="5">
        <v>36</v>
      </c>
      <c r="G149" s="5">
        <v>5595</v>
      </c>
      <c r="H149" s="5">
        <v>12</v>
      </c>
      <c r="I149" s="5">
        <v>10184</v>
      </c>
      <c r="J149" s="5">
        <v>62</v>
      </c>
      <c r="K149" s="5">
        <v>3</v>
      </c>
      <c r="L149" s="5">
        <v>2860</v>
      </c>
      <c r="M149" s="5">
        <v>1389</v>
      </c>
      <c r="N149" s="5">
        <v>85</v>
      </c>
      <c r="O149" s="5">
        <v>2412</v>
      </c>
      <c r="P149" s="5">
        <v>757</v>
      </c>
      <c r="Q149" s="6">
        <v>0</v>
      </c>
      <c r="R149" s="5">
        <v>44</v>
      </c>
      <c r="S149" s="5">
        <v>4159</v>
      </c>
      <c r="T149" s="5">
        <v>48</v>
      </c>
      <c r="U149" s="5">
        <v>9</v>
      </c>
      <c r="V149" s="5">
        <v>805</v>
      </c>
      <c r="W149" s="5">
        <v>74</v>
      </c>
      <c r="X149" s="5">
        <v>25</v>
      </c>
      <c r="Y149" s="5">
        <v>34</v>
      </c>
      <c r="Z149" s="5">
        <v>2693</v>
      </c>
      <c r="AA149" s="5">
        <v>25</v>
      </c>
      <c r="AB149" s="6">
        <v>0</v>
      </c>
      <c r="AC149" s="5">
        <v>36669</v>
      </c>
    </row>
    <row r="150" spans="1:29" x14ac:dyDescent="0.25">
      <c r="A150" s="4" t="s">
        <v>175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5">
        <v>352</v>
      </c>
      <c r="J150" s="5">
        <v>1</v>
      </c>
      <c r="K150" s="5">
        <v>2</v>
      </c>
      <c r="L150" s="6">
        <v>0</v>
      </c>
      <c r="M150" s="6">
        <v>0</v>
      </c>
      <c r="N150" s="6">
        <v>0</v>
      </c>
      <c r="O150" s="5">
        <v>28</v>
      </c>
      <c r="P150" s="5">
        <v>1</v>
      </c>
      <c r="Q150" s="6">
        <v>0</v>
      </c>
      <c r="R150" s="6">
        <v>0</v>
      </c>
      <c r="S150" s="5">
        <v>372</v>
      </c>
      <c r="T150" s="6">
        <v>0</v>
      </c>
      <c r="U150" s="6">
        <v>0</v>
      </c>
      <c r="V150" s="5">
        <v>1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5">
        <v>757</v>
      </c>
    </row>
    <row r="151" spans="1:29" x14ac:dyDescent="0.25">
      <c r="A151" s="4" t="s">
        <v>176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5">
        <v>1</v>
      </c>
      <c r="J151" s="6">
        <v>0</v>
      </c>
      <c r="K151" s="5">
        <v>2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5">
        <v>1</v>
      </c>
      <c r="T151" s="6">
        <v>0</v>
      </c>
      <c r="U151" s="6">
        <v>0</v>
      </c>
      <c r="V151" s="5">
        <v>1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5">
        <v>5</v>
      </c>
    </row>
    <row r="152" spans="1:29" x14ac:dyDescent="0.25">
      <c r="A152" s="4" t="s">
        <v>177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</row>
    <row r="153" spans="1:29" x14ac:dyDescent="0.25">
      <c r="A153" s="4" t="s">
        <v>178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5">
        <v>216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5">
        <v>216</v>
      </c>
    </row>
    <row r="154" spans="1:29" x14ac:dyDescent="0.25">
      <c r="A154" s="4" t="s">
        <v>335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</row>
    <row r="155" spans="1:29" x14ac:dyDescent="0.25">
      <c r="A155" s="4" t="s">
        <v>180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5">
        <v>3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5">
        <v>3</v>
      </c>
    </row>
    <row r="156" spans="1:29" x14ac:dyDescent="0.25">
      <c r="A156" s="4" t="s">
        <v>181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</row>
    <row r="157" spans="1:29" x14ac:dyDescent="0.25">
      <c r="A157" s="4" t="s">
        <v>182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</row>
    <row r="158" spans="1:29" x14ac:dyDescent="0.25">
      <c r="A158" s="4" t="s">
        <v>183</v>
      </c>
      <c r="B158" s="5">
        <v>139</v>
      </c>
      <c r="C158" s="5">
        <v>2326</v>
      </c>
      <c r="D158" s="5">
        <v>33</v>
      </c>
      <c r="E158" s="5">
        <v>1475</v>
      </c>
      <c r="F158" s="5">
        <v>7</v>
      </c>
      <c r="G158" s="5">
        <v>2098</v>
      </c>
      <c r="H158" s="5">
        <v>148</v>
      </c>
      <c r="I158" s="5">
        <v>7492</v>
      </c>
      <c r="J158" s="5">
        <v>6</v>
      </c>
      <c r="K158" s="5">
        <v>244</v>
      </c>
      <c r="L158" s="5">
        <v>1202</v>
      </c>
      <c r="M158" s="5">
        <v>42</v>
      </c>
      <c r="N158" s="5">
        <v>12</v>
      </c>
      <c r="O158" s="5">
        <v>1228</v>
      </c>
      <c r="P158" s="5">
        <v>783</v>
      </c>
      <c r="Q158" s="6">
        <v>0</v>
      </c>
      <c r="R158" s="5">
        <v>2</v>
      </c>
      <c r="S158" s="5">
        <v>7246</v>
      </c>
      <c r="T158" s="5">
        <v>22</v>
      </c>
      <c r="U158" s="5">
        <v>89</v>
      </c>
      <c r="V158" s="5">
        <v>82</v>
      </c>
      <c r="W158" s="5">
        <v>35</v>
      </c>
      <c r="X158" s="6">
        <v>0</v>
      </c>
      <c r="Y158" s="5">
        <v>1</v>
      </c>
      <c r="Z158" s="5">
        <v>333</v>
      </c>
      <c r="AA158" s="6">
        <v>0</v>
      </c>
      <c r="AB158" s="6">
        <v>0</v>
      </c>
      <c r="AC158" s="5">
        <v>25045</v>
      </c>
    </row>
    <row r="159" spans="1:29" x14ac:dyDescent="0.25">
      <c r="A159" s="4" t="s">
        <v>184</v>
      </c>
      <c r="B159" s="5">
        <v>1081</v>
      </c>
      <c r="C159" s="5">
        <v>384</v>
      </c>
      <c r="D159" s="5">
        <v>315</v>
      </c>
      <c r="E159" s="5">
        <v>108</v>
      </c>
      <c r="F159" s="5">
        <v>24</v>
      </c>
      <c r="G159" s="5">
        <v>1316</v>
      </c>
      <c r="H159" s="5">
        <v>16</v>
      </c>
      <c r="I159" s="5">
        <v>3553</v>
      </c>
      <c r="J159" s="5">
        <v>26</v>
      </c>
      <c r="K159" s="5">
        <v>794</v>
      </c>
      <c r="L159" s="5">
        <v>1391</v>
      </c>
      <c r="M159" s="5">
        <v>261</v>
      </c>
      <c r="N159" s="5">
        <v>121</v>
      </c>
      <c r="O159" s="5">
        <v>1144</v>
      </c>
      <c r="P159" s="5">
        <v>101</v>
      </c>
      <c r="Q159" s="6">
        <v>0</v>
      </c>
      <c r="R159" s="5">
        <v>303</v>
      </c>
      <c r="S159" s="5">
        <v>2580</v>
      </c>
      <c r="T159" s="5">
        <v>21</v>
      </c>
      <c r="U159" s="5">
        <v>305</v>
      </c>
      <c r="V159" s="5">
        <v>101</v>
      </c>
      <c r="W159" s="5">
        <v>4</v>
      </c>
      <c r="X159" s="6">
        <v>0</v>
      </c>
      <c r="Y159" s="5">
        <v>9</v>
      </c>
      <c r="Z159" s="5">
        <v>616</v>
      </c>
      <c r="AA159" s="6">
        <v>0</v>
      </c>
      <c r="AB159" s="6">
        <v>0</v>
      </c>
      <c r="AC159" s="5">
        <v>14574</v>
      </c>
    </row>
    <row r="160" spans="1:29" x14ac:dyDescent="0.25">
      <c r="A160" s="4" t="s">
        <v>185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5">
        <v>45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5">
        <v>45</v>
      </c>
    </row>
    <row r="161" spans="1:29" x14ac:dyDescent="0.25">
      <c r="A161" s="4" t="s">
        <v>186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</row>
    <row r="162" spans="1:29" x14ac:dyDescent="0.25">
      <c r="A162" s="4" t="s">
        <v>187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5">
        <v>1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5">
        <v>1</v>
      </c>
    </row>
    <row r="163" spans="1:29" x14ac:dyDescent="0.25">
      <c r="A163" s="4" t="s">
        <v>188</v>
      </c>
      <c r="B163" s="5">
        <v>328</v>
      </c>
      <c r="C163" s="5">
        <v>669</v>
      </c>
      <c r="D163" s="5">
        <v>1</v>
      </c>
      <c r="E163" s="5">
        <v>930</v>
      </c>
      <c r="F163" s="5">
        <v>2</v>
      </c>
      <c r="G163" s="5">
        <v>312</v>
      </c>
      <c r="H163" s="5">
        <v>4</v>
      </c>
      <c r="I163" s="5">
        <v>1573</v>
      </c>
      <c r="J163" s="6">
        <v>0</v>
      </c>
      <c r="K163" s="5">
        <v>255</v>
      </c>
      <c r="L163" s="5">
        <v>199</v>
      </c>
      <c r="M163" s="5">
        <v>7</v>
      </c>
      <c r="N163" s="5">
        <v>79</v>
      </c>
      <c r="O163" s="5">
        <v>856</v>
      </c>
      <c r="P163" s="5">
        <v>4</v>
      </c>
      <c r="Q163" s="6">
        <v>0</v>
      </c>
      <c r="R163" s="5">
        <v>381</v>
      </c>
      <c r="S163" s="5">
        <v>4396</v>
      </c>
      <c r="T163" s="5">
        <v>3</v>
      </c>
      <c r="U163" s="5">
        <v>35</v>
      </c>
      <c r="V163" s="5">
        <v>284</v>
      </c>
      <c r="W163" s="5">
        <v>12</v>
      </c>
      <c r="X163" s="5">
        <v>1</v>
      </c>
      <c r="Y163" s="6">
        <v>0</v>
      </c>
      <c r="Z163" s="5">
        <v>405</v>
      </c>
      <c r="AA163" s="6">
        <v>0</v>
      </c>
      <c r="AB163" s="6">
        <v>0</v>
      </c>
      <c r="AC163" s="5">
        <v>10736</v>
      </c>
    </row>
    <row r="164" spans="1:29" x14ac:dyDescent="0.25">
      <c r="A164" s="4" t="s">
        <v>189</v>
      </c>
      <c r="B164" s="5">
        <v>2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5">
        <v>155</v>
      </c>
      <c r="J164" s="6">
        <v>0</v>
      </c>
      <c r="K164" s="6">
        <v>0</v>
      </c>
      <c r="L164" s="6">
        <v>0</v>
      </c>
      <c r="M164" s="6">
        <v>0</v>
      </c>
      <c r="N164" s="5">
        <v>1</v>
      </c>
      <c r="O164" s="5">
        <v>1</v>
      </c>
      <c r="P164" s="5">
        <v>4</v>
      </c>
      <c r="Q164" s="6">
        <v>0</v>
      </c>
      <c r="R164" s="6">
        <v>0</v>
      </c>
      <c r="S164" s="5">
        <v>27</v>
      </c>
      <c r="T164" s="6">
        <v>0</v>
      </c>
      <c r="U164" s="6">
        <v>0</v>
      </c>
      <c r="V164" s="5">
        <v>1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5">
        <v>191</v>
      </c>
    </row>
    <row r="165" spans="1:29" x14ac:dyDescent="0.25">
      <c r="A165" s="4" t="s">
        <v>190</v>
      </c>
      <c r="B165" s="5">
        <v>2310</v>
      </c>
      <c r="C165" s="5">
        <v>695</v>
      </c>
      <c r="D165" s="5">
        <v>16</v>
      </c>
      <c r="E165" s="5">
        <v>4</v>
      </c>
      <c r="F165" s="5">
        <v>339</v>
      </c>
      <c r="G165" s="5">
        <v>2050</v>
      </c>
      <c r="H165" s="5">
        <v>3</v>
      </c>
      <c r="I165" s="5">
        <v>4588</v>
      </c>
      <c r="J165" s="5">
        <v>33</v>
      </c>
      <c r="K165" s="5">
        <v>4</v>
      </c>
      <c r="L165" s="5">
        <v>621</v>
      </c>
      <c r="M165" s="5">
        <v>382</v>
      </c>
      <c r="N165" s="5">
        <v>48</v>
      </c>
      <c r="O165" s="5">
        <v>585</v>
      </c>
      <c r="P165" s="5">
        <v>357</v>
      </c>
      <c r="Q165" s="6">
        <v>0</v>
      </c>
      <c r="R165" s="5">
        <v>246</v>
      </c>
      <c r="S165" s="5">
        <v>4025</v>
      </c>
      <c r="T165" s="5">
        <v>15</v>
      </c>
      <c r="U165" s="6">
        <v>0</v>
      </c>
      <c r="V165" s="5">
        <v>14</v>
      </c>
      <c r="W165" s="5">
        <v>1</v>
      </c>
      <c r="X165" s="5">
        <v>4</v>
      </c>
      <c r="Y165" s="5">
        <v>2</v>
      </c>
      <c r="Z165" s="5">
        <v>383</v>
      </c>
      <c r="AA165" s="5">
        <v>1</v>
      </c>
      <c r="AB165" s="6">
        <v>0</v>
      </c>
      <c r="AC165" s="5">
        <v>16726</v>
      </c>
    </row>
    <row r="166" spans="1:29" x14ac:dyDescent="0.25">
      <c r="A166" s="4" t="s">
        <v>191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</row>
    <row r="167" spans="1:29" x14ac:dyDescent="0.25">
      <c r="A167" s="4" t="s">
        <v>192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5">
        <v>1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5">
        <v>1</v>
      </c>
    </row>
    <row r="168" spans="1:29" x14ac:dyDescent="0.25">
      <c r="A168" s="4" t="s">
        <v>193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</row>
    <row r="169" spans="1:29" x14ac:dyDescent="0.25">
      <c r="A169" s="4" t="s">
        <v>194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</row>
    <row r="170" spans="1:29" x14ac:dyDescent="0.25">
      <c r="A170" s="4" t="s">
        <v>336</v>
      </c>
      <c r="B170" s="5">
        <v>11</v>
      </c>
      <c r="C170" s="5">
        <v>9</v>
      </c>
      <c r="D170" s="6">
        <v>0</v>
      </c>
      <c r="E170" s="6">
        <v>0</v>
      </c>
      <c r="F170" s="6">
        <v>0</v>
      </c>
      <c r="G170" s="5">
        <v>3</v>
      </c>
      <c r="H170" s="6">
        <v>0</v>
      </c>
      <c r="I170" s="5">
        <v>1817</v>
      </c>
      <c r="J170" s="5">
        <v>1</v>
      </c>
      <c r="K170" s="5">
        <v>1</v>
      </c>
      <c r="L170" s="5">
        <v>1</v>
      </c>
      <c r="M170" s="5">
        <v>10</v>
      </c>
      <c r="N170" s="5">
        <v>2</v>
      </c>
      <c r="O170" s="5">
        <v>4</v>
      </c>
      <c r="P170" s="5">
        <v>16</v>
      </c>
      <c r="Q170" s="6">
        <v>0</v>
      </c>
      <c r="R170" s="6">
        <v>0</v>
      </c>
      <c r="S170" s="5">
        <v>303</v>
      </c>
      <c r="T170" s="6">
        <v>0</v>
      </c>
      <c r="U170" s="6">
        <v>0</v>
      </c>
      <c r="V170" s="5">
        <v>1</v>
      </c>
      <c r="W170" s="5">
        <v>1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5">
        <v>2180</v>
      </c>
    </row>
    <row r="171" spans="1:29" x14ac:dyDescent="0.25">
      <c r="A171" s="4" t="s">
        <v>196</v>
      </c>
      <c r="B171" s="5">
        <v>412</v>
      </c>
      <c r="C171" s="5">
        <v>3212</v>
      </c>
      <c r="D171" s="5">
        <v>139</v>
      </c>
      <c r="E171" s="5">
        <v>3</v>
      </c>
      <c r="F171" s="5">
        <v>4</v>
      </c>
      <c r="G171" s="5">
        <v>2346</v>
      </c>
      <c r="H171" s="5">
        <v>4</v>
      </c>
      <c r="I171" s="5">
        <v>4657</v>
      </c>
      <c r="J171" s="5">
        <v>7</v>
      </c>
      <c r="K171" s="5">
        <v>36</v>
      </c>
      <c r="L171" s="5">
        <v>1363</v>
      </c>
      <c r="M171" s="5">
        <v>71</v>
      </c>
      <c r="N171" s="5">
        <v>204</v>
      </c>
      <c r="O171" s="5">
        <v>871</v>
      </c>
      <c r="P171" s="5">
        <v>343</v>
      </c>
      <c r="Q171" s="6">
        <v>0</v>
      </c>
      <c r="R171" s="5">
        <v>2</v>
      </c>
      <c r="S171" s="5">
        <v>3099</v>
      </c>
      <c r="T171" s="5">
        <v>9</v>
      </c>
      <c r="U171" s="5">
        <v>210</v>
      </c>
      <c r="V171" s="5">
        <v>9</v>
      </c>
      <c r="W171" s="5">
        <v>7</v>
      </c>
      <c r="X171" s="5">
        <v>6</v>
      </c>
      <c r="Y171" s="5">
        <v>5</v>
      </c>
      <c r="Z171" s="5">
        <v>65</v>
      </c>
      <c r="AA171" s="5">
        <v>6</v>
      </c>
      <c r="AB171" s="6">
        <v>0</v>
      </c>
      <c r="AC171" s="5">
        <v>17090</v>
      </c>
    </row>
    <row r="172" spans="1:29" x14ac:dyDescent="0.25">
      <c r="A172" s="4" t="s">
        <v>197</v>
      </c>
      <c r="B172" s="5">
        <v>2381</v>
      </c>
      <c r="C172" s="5">
        <v>4142</v>
      </c>
      <c r="D172" s="5">
        <v>122</v>
      </c>
      <c r="E172" s="5">
        <v>45</v>
      </c>
      <c r="F172" s="5">
        <v>855</v>
      </c>
      <c r="G172" s="5">
        <v>5622</v>
      </c>
      <c r="H172" s="5">
        <v>20</v>
      </c>
      <c r="I172" s="5">
        <v>7913</v>
      </c>
      <c r="J172" s="5">
        <v>143</v>
      </c>
      <c r="K172" s="5">
        <v>15</v>
      </c>
      <c r="L172" s="5">
        <v>4229</v>
      </c>
      <c r="M172" s="5">
        <v>1409</v>
      </c>
      <c r="N172" s="5">
        <v>69</v>
      </c>
      <c r="O172" s="5">
        <v>2136</v>
      </c>
      <c r="P172" s="5">
        <v>924</v>
      </c>
      <c r="Q172" s="6">
        <v>0</v>
      </c>
      <c r="R172" s="5">
        <v>102</v>
      </c>
      <c r="S172" s="5">
        <v>7153</v>
      </c>
      <c r="T172" s="5">
        <v>25</v>
      </c>
      <c r="U172" s="5">
        <v>6</v>
      </c>
      <c r="V172" s="5">
        <v>1224</v>
      </c>
      <c r="W172" s="5">
        <v>41</v>
      </c>
      <c r="X172" s="5">
        <v>30</v>
      </c>
      <c r="Y172" s="5">
        <v>28</v>
      </c>
      <c r="Z172" s="5">
        <v>1787</v>
      </c>
      <c r="AA172" s="5">
        <v>88</v>
      </c>
      <c r="AB172" s="6">
        <v>0</v>
      </c>
      <c r="AC172" s="5">
        <v>40509</v>
      </c>
    </row>
    <row r="173" spans="1:29" x14ac:dyDescent="0.25">
      <c r="A173" s="4" t="s">
        <v>198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  <c r="G173" s="5">
        <v>1</v>
      </c>
      <c r="H173" s="6">
        <v>0</v>
      </c>
      <c r="I173" s="5">
        <v>270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5">
        <v>1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5">
        <v>272</v>
      </c>
    </row>
    <row r="174" spans="1:29" x14ac:dyDescent="0.25">
      <c r="A174" s="4" t="s">
        <v>337</v>
      </c>
      <c r="B174" s="5">
        <v>38</v>
      </c>
      <c r="C174" s="5">
        <v>388</v>
      </c>
      <c r="D174" s="5">
        <v>1</v>
      </c>
      <c r="E174" s="5">
        <v>201</v>
      </c>
      <c r="F174" s="5">
        <v>2</v>
      </c>
      <c r="G174" s="5">
        <v>408</v>
      </c>
      <c r="H174" s="6">
        <v>0</v>
      </c>
      <c r="I174" s="5">
        <v>1032</v>
      </c>
      <c r="J174" s="5">
        <v>2</v>
      </c>
      <c r="K174" s="5">
        <v>6</v>
      </c>
      <c r="L174" s="5">
        <v>100</v>
      </c>
      <c r="M174" s="5">
        <v>1</v>
      </c>
      <c r="N174" s="5">
        <v>97</v>
      </c>
      <c r="O174" s="5">
        <v>254</v>
      </c>
      <c r="P174" s="5">
        <v>3</v>
      </c>
      <c r="Q174" s="6">
        <v>0</v>
      </c>
      <c r="R174" s="5">
        <v>147</v>
      </c>
      <c r="S174" s="5">
        <v>688</v>
      </c>
      <c r="T174" s="6">
        <v>0</v>
      </c>
      <c r="U174" s="5">
        <v>17</v>
      </c>
      <c r="V174" s="6">
        <v>0</v>
      </c>
      <c r="W174" s="5">
        <v>7</v>
      </c>
      <c r="X174" s="5">
        <v>1</v>
      </c>
      <c r="Y174" s="6">
        <v>0</v>
      </c>
      <c r="Z174" s="5">
        <v>328</v>
      </c>
      <c r="AA174" s="6">
        <v>0</v>
      </c>
      <c r="AB174" s="6">
        <v>0</v>
      </c>
      <c r="AC174" s="5">
        <v>3721</v>
      </c>
    </row>
    <row r="175" spans="1:29" x14ac:dyDescent="0.25">
      <c r="A175" s="4" t="s">
        <v>200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5">
        <v>69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5">
        <v>69</v>
      </c>
    </row>
    <row r="176" spans="1:29" x14ac:dyDescent="0.25">
      <c r="A176" s="4" t="s">
        <v>201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5">
        <v>5</v>
      </c>
      <c r="J176" s="6">
        <v>0</v>
      </c>
      <c r="K176" s="6">
        <v>0</v>
      </c>
      <c r="L176" s="5">
        <v>1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5">
        <v>6</v>
      </c>
    </row>
    <row r="177" spans="1:29" x14ac:dyDescent="0.25">
      <c r="A177" s="4" t="s">
        <v>202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</row>
    <row r="178" spans="1:29" x14ac:dyDescent="0.25">
      <c r="A178" s="4" t="s">
        <v>203</v>
      </c>
      <c r="B178" s="6">
        <v>0</v>
      </c>
      <c r="C178" s="6">
        <v>0</v>
      </c>
      <c r="D178" s="6">
        <v>0</v>
      </c>
      <c r="E178" s="6">
        <v>0</v>
      </c>
      <c r="F178" s="6">
        <v>0</v>
      </c>
      <c r="G178" s="5">
        <v>70</v>
      </c>
      <c r="H178" s="6">
        <v>0</v>
      </c>
      <c r="I178" s="5">
        <v>1086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5">
        <v>4</v>
      </c>
      <c r="Q178" s="6">
        <v>0</v>
      </c>
      <c r="R178" s="6">
        <v>0</v>
      </c>
      <c r="S178" s="5">
        <v>366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5">
        <v>1526</v>
      </c>
    </row>
    <row r="179" spans="1:29" x14ac:dyDescent="0.25">
      <c r="A179" s="4" t="s">
        <v>204</v>
      </c>
      <c r="B179" s="5">
        <v>344</v>
      </c>
      <c r="C179" s="6">
        <v>0</v>
      </c>
      <c r="D179" s="6">
        <v>0</v>
      </c>
      <c r="E179" s="5">
        <v>2</v>
      </c>
      <c r="F179" s="5">
        <v>3</v>
      </c>
      <c r="G179" s="5">
        <v>20</v>
      </c>
      <c r="H179" s="5">
        <v>3</v>
      </c>
      <c r="I179" s="5">
        <v>7</v>
      </c>
      <c r="J179" s="5">
        <v>2</v>
      </c>
      <c r="K179" s="5">
        <v>3</v>
      </c>
      <c r="L179" s="5">
        <v>3</v>
      </c>
      <c r="M179" s="5">
        <v>2</v>
      </c>
      <c r="N179" s="5">
        <v>3</v>
      </c>
      <c r="O179" s="5">
        <v>12</v>
      </c>
      <c r="P179" s="5">
        <v>342</v>
      </c>
      <c r="Q179" s="6">
        <v>0</v>
      </c>
      <c r="R179" s="5">
        <v>3</v>
      </c>
      <c r="S179" s="5">
        <v>15</v>
      </c>
      <c r="T179" s="5">
        <v>5</v>
      </c>
      <c r="U179" s="6">
        <v>0</v>
      </c>
      <c r="V179" s="5">
        <v>9</v>
      </c>
      <c r="W179" s="5">
        <v>3</v>
      </c>
      <c r="X179" s="6">
        <v>0</v>
      </c>
      <c r="Y179" s="5">
        <v>1</v>
      </c>
      <c r="Z179" s="5">
        <v>10</v>
      </c>
      <c r="AA179" s="6">
        <v>0</v>
      </c>
      <c r="AB179" s="6">
        <v>0</v>
      </c>
      <c r="AC179" s="5">
        <v>792</v>
      </c>
    </row>
    <row r="180" spans="1:29" x14ac:dyDescent="0.25">
      <c r="A180" s="4" t="s">
        <v>205</v>
      </c>
      <c r="B180" s="6">
        <v>0</v>
      </c>
      <c r="C180" s="5">
        <v>130</v>
      </c>
      <c r="D180" s="6">
        <v>0</v>
      </c>
      <c r="E180" s="5">
        <v>4</v>
      </c>
      <c r="F180" s="5">
        <v>1</v>
      </c>
      <c r="G180" s="5">
        <v>11</v>
      </c>
      <c r="H180" s="5">
        <v>5</v>
      </c>
      <c r="I180" s="5">
        <v>1071</v>
      </c>
      <c r="J180" s="6">
        <v>0</v>
      </c>
      <c r="K180" s="5">
        <v>1</v>
      </c>
      <c r="L180" s="5">
        <v>3</v>
      </c>
      <c r="M180" s="5">
        <v>14</v>
      </c>
      <c r="N180" s="6">
        <v>0</v>
      </c>
      <c r="O180" s="5">
        <v>268</v>
      </c>
      <c r="P180" s="5">
        <v>37</v>
      </c>
      <c r="Q180" s="6">
        <v>0</v>
      </c>
      <c r="R180" s="5">
        <v>3</v>
      </c>
      <c r="S180" s="5">
        <v>788</v>
      </c>
      <c r="T180" s="5">
        <v>3</v>
      </c>
      <c r="U180" s="6">
        <v>0</v>
      </c>
      <c r="V180" s="5">
        <v>2</v>
      </c>
      <c r="W180" s="6">
        <v>0</v>
      </c>
      <c r="X180" s="6">
        <v>0</v>
      </c>
      <c r="Y180" s="6">
        <v>0</v>
      </c>
      <c r="Z180" s="5">
        <v>1</v>
      </c>
      <c r="AA180" s="6">
        <v>0</v>
      </c>
      <c r="AB180" s="6">
        <v>0</v>
      </c>
      <c r="AC180" s="5">
        <v>2342</v>
      </c>
    </row>
    <row r="181" spans="1:29" x14ac:dyDescent="0.25">
      <c r="A181" s="4" t="s">
        <v>206</v>
      </c>
      <c r="B181" s="6">
        <v>0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</row>
    <row r="182" spans="1:29" x14ac:dyDescent="0.25">
      <c r="A182" s="4" t="s">
        <v>207</v>
      </c>
      <c r="B182" s="5">
        <v>1068</v>
      </c>
      <c r="C182" s="5">
        <v>1796</v>
      </c>
      <c r="D182" s="5">
        <v>739</v>
      </c>
      <c r="E182" s="5">
        <v>554</v>
      </c>
      <c r="F182" s="5">
        <v>429</v>
      </c>
      <c r="G182" s="5">
        <v>4304</v>
      </c>
      <c r="H182" s="5">
        <v>128</v>
      </c>
      <c r="I182" s="5">
        <v>2731</v>
      </c>
      <c r="J182" s="5">
        <v>313</v>
      </c>
      <c r="K182" s="5">
        <v>504</v>
      </c>
      <c r="L182" s="5">
        <v>2780</v>
      </c>
      <c r="M182" s="5">
        <v>1673</v>
      </c>
      <c r="N182" s="5">
        <v>634</v>
      </c>
      <c r="O182" s="5">
        <v>3287</v>
      </c>
      <c r="P182" s="5">
        <v>732</v>
      </c>
      <c r="Q182" s="6">
        <v>0</v>
      </c>
      <c r="R182" s="5">
        <v>154</v>
      </c>
      <c r="S182" s="5">
        <v>2746</v>
      </c>
      <c r="T182" s="5">
        <v>597</v>
      </c>
      <c r="U182" s="5">
        <v>557</v>
      </c>
      <c r="V182" s="5">
        <v>1073</v>
      </c>
      <c r="W182" s="5">
        <v>834</v>
      </c>
      <c r="X182" s="5">
        <v>79</v>
      </c>
      <c r="Y182" s="5">
        <v>454</v>
      </c>
      <c r="Z182" s="5">
        <v>2615</v>
      </c>
      <c r="AA182" s="5">
        <v>7</v>
      </c>
      <c r="AB182" s="6">
        <v>0</v>
      </c>
      <c r="AC182" s="5">
        <v>30788</v>
      </c>
    </row>
    <row r="183" spans="1:29" x14ac:dyDescent="0.25">
      <c r="A183" s="4" t="s">
        <v>208</v>
      </c>
      <c r="B183" s="5">
        <v>3113</v>
      </c>
      <c r="C183" s="5">
        <v>2355</v>
      </c>
      <c r="D183" s="5">
        <v>400</v>
      </c>
      <c r="E183" s="5">
        <v>87</v>
      </c>
      <c r="F183" s="5">
        <v>122</v>
      </c>
      <c r="G183" s="5">
        <v>4371</v>
      </c>
      <c r="H183" s="5">
        <v>58</v>
      </c>
      <c r="I183" s="5">
        <v>9074</v>
      </c>
      <c r="J183" s="5">
        <v>15</v>
      </c>
      <c r="K183" s="5">
        <v>1065</v>
      </c>
      <c r="L183" s="5">
        <v>2567</v>
      </c>
      <c r="M183" s="5">
        <v>547</v>
      </c>
      <c r="N183" s="5">
        <v>450</v>
      </c>
      <c r="O183" s="5">
        <v>2536</v>
      </c>
      <c r="P183" s="5">
        <v>1308</v>
      </c>
      <c r="Q183" s="6">
        <v>0</v>
      </c>
      <c r="R183" s="5">
        <v>312</v>
      </c>
      <c r="S183" s="5">
        <v>8054</v>
      </c>
      <c r="T183" s="5">
        <v>35</v>
      </c>
      <c r="U183" s="5">
        <v>1176</v>
      </c>
      <c r="V183" s="5">
        <v>314</v>
      </c>
      <c r="W183" s="5">
        <v>29</v>
      </c>
      <c r="X183" s="5">
        <v>109</v>
      </c>
      <c r="Y183" s="5">
        <v>8</v>
      </c>
      <c r="Z183" s="5">
        <v>1815</v>
      </c>
      <c r="AA183" s="6">
        <v>0</v>
      </c>
      <c r="AB183" s="6">
        <v>0</v>
      </c>
      <c r="AC183" s="5">
        <v>39920</v>
      </c>
    </row>
    <row r="184" spans="1:29" x14ac:dyDescent="0.25">
      <c r="A184" s="4" t="s">
        <v>209</v>
      </c>
      <c r="B184" s="5">
        <v>844</v>
      </c>
      <c r="C184" s="5">
        <v>840</v>
      </c>
      <c r="D184" s="5">
        <v>412</v>
      </c>
      <c r="E184" s="5">
        <v>21</v>
      </c>
      <c r="F184" s="5">
        <v>206</v>
      </c>
      <c r="G184" s="5">
        <v>2974</v>
      </c>
      <c r="H184" s="5">
        <v>172</v>
      </c>
      <c r="I184" s="5">
        <v>1835</v>
      </c>
      <c r="J184" s="5">
        <v>198</v>
      </c>
      <c r="K184" s="5">
        <v>172</v>
      </c>
      <c r="L184" s="5">
        <v>1501</v>
      </c>
      <c r="M184" s="5">
        <v>1531</v>
      </c>
      <c r="N184" s="5">
        <v>174</v>
      </c>
      <c r="O184" s="5">
        <v>1339</v>
      </c>
      <c r="P184" s="5">
        <v>765</v>
      </c>
      <c r="Q184" s="6">
        <v>0</v>
      </c>
      <c r="R184" s="5">
        <v>108</v>
      </c>
      <c r="S184" s="5">
        <v>1962</v>
      </c>
      <c r="T184" s="5">
        <v>202</v>
      </c>
      <c r="U184" s="5">
        <v>452</v>
      </c>
      <c r="V184" s="5">
        <v>668</v>
      </c>
      <c r="W184" s="5">
        <v>283</v>
      </c>
      <c r="X184" s="5">
        <v>86</v>
      </c>
      <c r="Y184" s="5">
        <v>67</v>
      </c>
      <c r="Z184" s="5">
        <v>1331</v>
      </c>
      <c r="AA184" s="6">
        <v>0</v>
      </c>
      <c r="AB184" s="6">
        <v>0</v>
      </c>
      <c r="AC184" s="5">
        <v>18143</v>
      </c>
    </row>
    <row r="185" spans="1:29" x14ac:dyDescent="0.25">
      <c r="A185" s="4" t="s">
        <v>210</v>
      </c>
      <c r="B185" s="6">
        <v>0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5">
        <v>191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5">
        <v>191</v>
      </c>
    </row>
    <row r="186" spans="1:29" x14ac:dyDescent="0.25">
      <c r="A186" s="4" t="s">
        <v>211</v>
      </c>
      <c r="B186" s="6">
        <v>0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</row>
    <row r="187" spans="1:29" x14ac:dyDescent="0.25">
      <c r="A187" s="4" t="s">
        <v>212</v>
      </c>
      <c r="B187" s="6">
        <v>0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5">
        <v>8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5">
        <v>1</v>
      </c>
      <c r="AA187" s="6">
        <v>0</v>
      </c>
      <c r="AB187" s="6">
        <v>0</v>
      </c>
      <c r="AC187" s="5">
        <v>9</v>
      </c>
    </row>
    <row r="188" spans="1:29" x14ac:dyDescent="0.25">
      <c r="A188" s="4" t="s">
        <v>213</v>
      </c>
      <c r="B188" s="6">
        <v>0</v>
      </c>
      <c r="C188" s="6">
        <v>0</v>
      </c>
      <c r="D188" s="6">
        <v>0</v>
      </c>
      <c r="E188" s="6">
        <v>0</v>
      </c>
      <c r="F188" s="6">
        <v>0</v>
      </c>
      <c r="G188" s="5">
        <v>2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5">
        <v>2</v>
      </c>
    </row>
    <row r="189" spans="1:29" x14ac:dyDescent="0.25">
      <c r="A189" s="4" t="s">
        <v>214</v>
      </c>
      <c r="B189" s="6">
        <v>0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</row>
    <row r="190" spans="1:29" x14ac:dyDescent="0.25">
      <c r="A190" s="4" t="s">
        <v>215</v>
      </c>
      <c r="B190" s="6">
        <v>0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5">
        <v>1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5">
        <v>1</v>
      </c>
    </row>
    <row r="191" spans="1:29" x14ac:dyDescent="0.25">
      <c r="A191" s="4" t="s">
        <v>216</v>
      </c>
      <c r="B191" s="5">
        <v>1</v>
      </c>
      <c r="C191" s="6">
        <v>0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5">
        <v>855</v>
      </c>
      <c r="J191" s="6">
        <v>0</v>
      </c>
      <c r="K191" s="6">
        <v>0</v>
      </c>
      <c r="L191" s="6">
        <v>0</v>
      </c>
      <c r="M191" s="5">
        <v>6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5">
        <v>516</v>
      </c>
      <c r="T191" s="6">
        <v>0</v>
      </c>
      <c r="U191" s="6">
        <v>0</v>
      </c>
      <c r="V191" s="5">
        <v>1</v>
      </c>
      <c r="W191" s="6">
        <v>0</v>
      </c>
      <c r="X191" s="6">
        <v>0</v>
      </c>
      <c r="Y191" s="6">
        <v>0</v>
      </c>
      <c r="Z191" s="5">
        <v>2</v>
      </c>
      <c r="AA191" s="6">
        <v>0</v>
      </c>
      <c r="AB191" s="6">
        <v>0</v>
      </c>
      <c r="AC191" s="5">
        <v>1381</v>
      </c>
    </row>
    <row r="192" spans="1:29" x14ac:dyDescent="0.25">
      <c r="A192" s="4" t="s">
        <v>217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</row>
    <row r="193" spans="1:29" x14ac:dyDescent="0.25">
      <c r="A193" s="4" t="s">
        <v>218</v>
      </c>
      <c r="B193" s="6">
        <v>0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</row>
    <row r="194" spans="1:29" x14ac:dyDescent="0.25">
      <c r="A194" s="4" t="s">
        <v>219</v>
      </c>
      <c r="B194" s="6">
        <v>0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</row>
    <row r="195" spans="1:29" x14ac:dyDescent="0.25">
      <c r="A195" s="4" t="s">
        <v>220</v>
      </c>
      <c r="B195" s="6">
        <v>0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5">
        <v>53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5">
        <v>53</v>
      </c>
    </row>
    <row r="196" spans="1:29" x14ac:dyDescent="0.25">
      <c r="A196" s="4" t="s">
        <v>221</v>
      </c>
      <c r="B196" s="6">
        <v>0</v>
      </c>
      <c r="C196" s="5">
        <v>1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5">
        <v>364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5">
        <v>365</v>
      </c>
    </row>
    <row r="197" spans="1:29" x14ac:dyDescent="0.25">
      <c r="A197" s="4" t="s">
        <v>222</v>
      </c>
      <c r="B197" s="6">
        <v>0</v>
      </c>
      <c r="C197" s="6">
        <v>0</v>
      </c>
      <c r="D197" s="6">
        <v>0</v>
      </c>
      <c r="E197" s="6">
        <v>0</v>
      </c>
      <c r="F197" s="6">
        <v>0</v>
      </c>
      <c r="G197" s="5">
        <v>1</v>
      </c>
      <c r="H197" s="6">
        <v>0</v>
      </c>
      <c r="I197" s="5">
        <v>81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5">
        <v>82</v>
      </c>
    </row>
    <row r="198" spans="1:29" x14ac:dyDescent="0.25">
      <c r="A198" s="4" t="s">
        <v>223</v>
      </c>
      <c r="B198" s="5">
        <v>1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5">
        <v>1150</v>
      </c>
      <c r="J198" s="5">
        <v>1</v>
      </c>
      <c r="K198" s="6">
        <v>0</v>
      </c>
      <c r="L198" s="6">
        <v>0</v>
      </c>
      <c r="M198" s="6">
        <v>0</v>
      </c>
      <c r="N198" s="6">
        <v>0</v>
      </c>
      <c r="O198" s="5">
        <v>218</v>
      </c>
      <c r="P198" s="5">
        <v>263</v>
      </c>
      <c r="Q198" s="6">
        <v>0</v>
      </c>
      <c r="R198" s="6">
        <v>0</v>
      </c>
      <c r="S198" s="5">
        <v>366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5">
        <v>1999</v>
      </c>
    </row>
    <row r="199" spans="1:29" x14ac:dyDescent="0.25">
      <c r="A199" s="4" t="s">
        <v>338</v>
      </c>
      <c r="B199" s="6">
        <v>0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</row>
    <row r="200" spans="1:29" x14ac:dyDescent="0.25">
      <c r="A200" s="4" t="s">
        <v>225</v>
      </c>
      <c r="B200" s="6">
        <v>0</v>
      </c>
      <c r="C200" s="6">
        <v>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5">
        <v>1</v>
      </c>
      <c r="AA200" s="6">
        <v>0</v>
      </c>
      <c r="AB200" s="6">
        <v>0</v>
      </c>
      <c r="AC200" s="5">
        <v>1</v>
      </c>
    </row>
    <row r="201" spans="1:29" x14ac:dyDescent="0.25">
      <c r="A201" s="4" t="s">
        <v>226</v>
      </c>
      <c r="B201" s="6">
        <v>0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</row>
    <row r="202" spans="1:29" x14ac:dyDescent="0.25">
      <c r="A202" s="4" t="s">
        <v>227</v>
      </c>
      <c r="B202" s="6">
        <v>0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5">
        <v>48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5">
        <v>8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5">
        <v>56</v>
      </c>
    </row>
    <row r="203" spans="1:29" x14ac:dyDescent="0.25">
      <c r="A203" s="4" t="s">
        <v>228</v>
      </c>
      <c r="B203" s="6">
        <v>0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</row>
    <row r="204" spans="1:29" x14ac:dyDescent="0.25">
      <c r="A204" s="4" t="s">
        <v>229</v>
      </c>
      <c r="B204" s="5">
        <v>111</v>
      </c>
      <c r="C204" s="5">
        <v>845</v>
      </c>
      <c r="D204" s="5">
        <v>22</v>
      </c>
      <c r="E204" s="5">
        <v>8</v>
      </c>
      <c r="F204" s="5">
        <v>27</v>
      </c>
      <c r="G204" s="5">
        <v>1500</v>
      </c>
      <c r="H204" s="5">
        <v>36</v>
      </c>
      <c r="I204" s="5">
        <v>2479</v>
      </c>
      <c r="J204" s="5">
        <v>7</v>
      </c>
      <c r="K204" s="5">
        <v>7</v>
      </c>
      <c r="L204" s="5">
        <v>625</v>
      </c>
      <c r="M204" s="5">
        <v>25</v>
      </c>
      <c r="N204" s="5">
        <v>5</v>
      </c>
      <c r="O204" s="5">
        <v>614</v>
      </c>
      <c r="P204" s="5">
        <v>262</v>
      </c>
      <c r="Q204" s="6">
        <v>0</v>
      </c>
      <c r="R204" s="5">
        <v>3</v>
      </c>
      <c r="S204" s="5">
        <v>1763</v>
      </c>
      <c r="T204" s="5">
        <v>12</v>
      </c>
      <c r="U204" s="5">
        <v>3</v>
      </c>
      <c r="V204" s="5">
        <v>33</v>
      </c>
      <c r="W204" s="5">
        <v>21</v>
      </c>
      <c r="X204" s="6">
        <v>0</v>
      </c>
      <c r="Y204" s="5">
        <v>4</v>
      </c>
      <c r="Z204" s="5">
        <v>39</v>
      </c>
      <c r="AA204" s="6">
        <v>0</v>
      </c>
      <c r="AB204" s="6">
        <v>0</v>
      </c>
      <c r="AC204" s="5">
        <v>8451</v>
      </c>
    </row>
    <row r="205" spans="1:29" x14ac:dyDescent="0.25">
      <c r="A205" s="4" t="s">
        <v>230</v>
      </c>
      <c r="B205" s="5">
        <v>1119</v>
      </c>
      <c r="C205" s="5">
        <v>3556</v>
      </c>
      <c r="D205" s="5">
        <v>1139</v>
      </c>
      <c r="E205" s="5">
        <v>184</v>
      </c>
      <c r="F205" s="5">
        <v>283</v>
      </c>
      <c r="G205" s="5">
        <v>6939</v>
      </c>
      <c r="H205" s="5">
        <v>263</v>
      </c>
      <c r="I205" s="5">
        <v>6523</v>
      </c>
      <c r="J205" s="5">
        <v>417</v>
      </c>
      <c r="K205" s="5">
        <v>24</v>
      </c>
      <c r="L205" s="5">
        <v>3232</v>
      </c>
      <c r="M205" s="5">
        <v>2793</v>
      </c>
      <c r="N205" s="5">
        <v>347</v>
      </c>
      <c r="O205" s="5">
        <v>5252</v>
      </c>
      <c r="P205" s="5">
        <v>1495</v>
      </c>
      <c r="Q205" s="6">
        <v>0</v>
      </c>
      <c r="R205" s="5">
        <v>15</v>
      </c>
      <c r="S205" s="5">
        <v>5134</v>
      </c>
      <c r="T205" s="5">
        <v>628</v>
      </c>
      <c r="U205" s="6">
        <v>0</v>
      </c>
      <c r="V205" s="5">
        <v>1732</v>
      </c>
      <c r="W205" s="5">
        <v>438</v>
      </c>
      <c r="X205" s="5">
        <v>101</v>
      </c>
      <c r="Y205" s="5">
        <v>144</v>
      </c>
      <c r="Z205" s="5">
        <v>4676</v>
      </c>
      <c r="AA205" s="6">
        <v>0</v>
      </c>
      <c r="AB205" s="6">
        <v>0</v>
      </c>
      <c r="AC205" s="5">
        <v>46434</v>
      </c>
    </row>
    <row r="206" spans="1:29" x14ac:dyDescent="0.25">
      <c r="A206" s="4" t="s">
        <v>231</v>
      </c>
      <c r="B206" s="5">
        <v>138</v>
      </c>
      <c r="C206" s="6">
        <v>0</v>
      </c>
      <c r="D206" s="6">
        <v>0</v>
      </c>
      <c r="E206" s="6">
        <v>0</v>
      </c>
      <c r="F206" s="5">
        <v>1</v>
      </c>
      <c r="G206" s="5">
        <v>362</v>
      </c>
      <c r="H206" s="6">
        <v>0</v>
      </c>
      <c r="I206" s="5">
        <v>913</v>
      </c>
      <c r="J206" s="6">
        <v>0</v>
      </c>
      <c r="K206" s="5">
        <v>1</v>
      </c>
      <c r="L206" s="5">
        <v>86</v>
      </c>
      <c r="M206" s="5">
        <v>61</v>
      </c>
      <c r="N206" s="5">
        <v>2</v>
      </c>
      <c r="O206" s="5">
        <v>251</v>
      </c>
      <c r="P206" s="5">
        <v>60</v>
      </c>
      <c r="Q206" s="6">
        <v>0</v>
      </c>
      <c r="R206" s="6">
        <v>0</v>
      </c>
      <c r="S206" s="5">
        <v>304</v>
      </c>
      <c r="T206" s="6">
        <v>0</v>
      </c>
      <c r="U206" s="6">
        <v>0</v>
      </c>
      <c r="V206" s="5">
        <v>26</v>
      </c>
      <c r="W206" s="6">
        <v>0</v>
      </c>
      <c r="X206" s="6">
        <v>0</v>
      </c>
      <c r="Y206" s="6">
        <v>0</v>
      </c>
      <c r="Z206" s="5">
        <v>54</v>
      </c>
      <c r="AA206" s="6">
        <v>0</v>
      </c>
      <c r="AB206" s="6">
        <v>0</v>
      </c>
      <c r="AC206" s="5">
        <v>2259</v>
      </c>
    </row>
    <row r="207" spans="1:29" x14ac:dyDescent="0.25">
      <c r="A207" s="4" t="s">
        <v>232</v>
      </c>
      <c r="B207" s="5">
        <v>1</v>
      </c>
      <c r="C207" s="6">
        <v>0</v>
      </c>
      <c r="D207" s="6">
        <v>0</v>
      </c>
      <c r="E207" s="6">
        <v>0</v>
      </c>
      <c r="F207" s="6">
        <v>0</v>
      </c>
      <c r="G207" s="5">
        <v>1</v>
      </c>
      <c r="H207" s="6">
        <v>0</v>
      </c>
      <c r="I207" s="5">
        <v>72</v>
      </c>
      <c r="J207" s="6">
        <v>0</v>
      </c>
      <c r="K207" s="5">
        <v>4</v>
      </c>
      <c r="L207" s="6">
        <v>0</v>
      </c>
      <c r="M207" s="5">
        <v>1</v>
      </c>
      <c r="N207" s="6">
        <v>0</v>
      </c>
      <c r="O207" s="5">
        <v>1</v>
      </c>
      <c r="P207" s="5">
        <v>8</v>
      </c>
      <c r="Q207" s="6">
        <v>0</v>
      </c>
      <c r="R207" s="6">
        <v>0</v>
      </c>
      <c r="S207" s="5">
        <v>2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5">
        <v>90</v>
      </c>
    </row>
    <row r="208" spans="1:29" x14ac:dyDescent="0.25">
      <c r="A208" s="4" t="s">
        <v>339</v>
      </c>
      <c r="B208" s="6">
        <v>0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</row>
    <row r="209" spans="1:29" x14ac:dyDescent="0.25">
      <c r="A209" s="4" t="s">
        <v>234</v>
      </c>
      <c r="B209" s="6">
        <v>0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</row>
    <row r="210" spans="1:29" x14ac:dyDescent="0.25">
      <c r="A210" s="4" t="s">
        <v>235</v>
      </c>
      <c r="B210" s="6">
        <v>0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5">
        <v>4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5">
        <v>4</v>
      </c>
    </row>
    <row r="211" spans="1:29" x14ac:dyDescent="0.25">
      <c r="A211" s="4" t="s">
        <v>236</v>
      </c>
      <c r="B211" s="5">
        <v>31</v>
      </c>
      <c r="C211" s="5">
        <v>368</v>
      </c>
      <c r="D211" s="6">
        <v>0</v>
      </c>
      <c r="E211" s="5">
        <v>154</v>
      </c>
      <c r="F211" s="5">
        <v>1</v>
      </c>
      <c r="G211" s="5">
        <v>61</v>
      </c>
      <c r="H211" s="5">
        <v>1</v>
      </c>
      <c r="I211" s="5">
        <v>1105</v>
      </c>
      <c r="J211" s="5">
        <v>7</v>
      </c>
      <c r="K211" s="5">
        <v>4</v>
      </c>
      <c r="L211" s="5">
        <v>82</v>
      </c>
      <c r="M211" s="5">
        <v>23</v>
      </c>
      <c r="N211" s="5">
        <v>10</v>
      </c>
      <c r="O211" s="5">
        <v>109</v>
      </c>
      <c r="P211" s="5">
        <v>122</v>
      </c>
      <c r="Q211" s="6">
        <v>0</v>
      </c>
      <c r="R211" s="5">
        <v>142</v>
      </c>
      <c r="S211" s="5">
        <v>1446</v>
      </c>
      <c r="T211" s="5">
        <v>7</v>
      </c>
      <c r="U211" s="5">
        <v>1</v>
      </c>
      <c r="V211" s="5">
        <v>2</v>
      </c>
      <c r="W211" s="5">
        <v>4</v>
      </c>
      <c r="X211" s="6">
        <v>0</v>
      </c>
      <c r="Y211" s="5">
        <v>1</v>
      </c>
      <c r="Z211" s="5">
        <v>2</v>
      </c>
      <c r="AA211" s="6">
        <v>0</v>
      </c>
      <c r="AB211" s="6">
        <v>0</v>
      </c>
      <c r="AC211" s="5">
        <v>3683</v>
      </c>
    </row>
    <row r="212" spans="1:29" x14ac:dyDescent="0.25">
      <c r="A212" s="4" t="s">
        <v>237</v>
      </c>
      <c r="B212" s="5">
        <v>488</v>
      </c>
      <c r="C212" s="5">
        <v>889</v>
      </c>
      <c r="D212" s="5">
        <v>4</v>
      </c>
      <c r="E212" s="5">
        <v>327</v>
      </c>
      <c r="F212" s="5">
        <v>10</v>
      </c>
      <c r="G212" s="5">
        <v>636</v>
      </c>
      <c r="H212" s="5">
        <v>11</v>
      </c>
      <c r="I212" s="5">
        <v>1680</v>
      </c>
      <c r="J212" s="5">
        <v>11</v>
      </c>
      <c r="K212" s="5">
        <v>142</v>
      </c>
      <c r="L212" s="5">
        <v>342</v>
      </c>
      <c r="M212" s="5">
        <v>17</v>
      </c>
      <c r="N212" s="5">
        <v>90</v>
      </c>
      <c r="O212" s="5">
        <v>316</v>
      </c>
      <c r="P212" s="5">
        <v>304</v>
      </c>
      <c r="Q212" s="6">
        <v>0</v>
      </c>
      <c r="R212" s="5">
        <v>5</v>
      </c>
      <c r="S212" s="5">
        <v>1722</v>
      </c>
      <c r="T212" s="5">
        <v>5</v>
      </c>
      <c r="U212" s="6">
        <v>0</v>
      </c>
      <c r="V212" s="5">
        <v>154</v>
      </c>
      <c r="W212" s="5">
        <v>4</v>
      </c>
      <c r="X212" s="5">
        <v>1</v>
      </c>
      <c r="Y212" s="5">
        <v>3</v>
      </c>
      <c r="Z212" s="5">
        <v>601</v>
      </c>
      <c r="AA212" s="6">
        <v>0</v>
      </c>
      <c r="AB212" s="6">
        <v>0</v>
      </c>
      <c r="AC212" s="5">
        <v>7762</v>
      </c>
    </row>
    <row r="213" spans="1:29" x14ac:dyDescent="0.25">
      <c r="A213" s="4" t="s">
        <v>238</v>
      </c>
      <c r="B213" s="6">
        <v>0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</row>
    <row r="214" spans="1:29" x14ac:dyDescent="0.25">
      <c r="A214" s="4" t="s">
        <v>239</v>
      </c>
      <c r="B214" s="6">
        <v>0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5">
        <v>276</v>
      </c>
      <c r="J214" s="6">
        <v>0</v>
      </c>
      <c r="K214" s="6">
        <v>0</v>
      </c>
      <c r="L214" s="5">
        <v>4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5">
        <v>4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5">
        <v>284</v>
      </c>
    </row>
    <row r="215" spans="1:29" x14ac:dyDescent="0.25">
      <c r="A215" s="4" t="s">
        <v>240</v>
      </c>
      <c r="B215" s="6">
        <v>0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</row>
    <row r="216" spans="1:29" x14ac:dyDescent="0.25">
      <c r="A216" s="4" t="s">
        <v>241</v>
      </c>
      <c r="B216" s="6">
        <v>0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5">
        <v>73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5">
        <v>1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5">
        <v>74</v>
      </c>
    </row>
    <row r="217" spans="1:29" x14ac:dyDescent="0.25">
      <c r="A217" s="4" t="s">
        <v>242</v>
      </c>
      <c r="B217" s="5">
        <v>13</v>
      </c>
      <c r="C217" s="5">
        <v>769</v>
      </c>
      <c r="D217" s="6">
        <v>0</v>
      </c>
      <c r="E217" s="6">
        <v>0</v>
      </c>
      <c r="F217" s="5">
        <v>20</v>
      </c>
      <c r="G217" s="5">
        <v>1506</v>
      </c>
      <c r="H217" s="5">
        <v>4</v>
      </c>
      <c r="I217" s="5">
        <v>2694</v>
      </c>
      <c r="J217" s="5">
        <v>1</v>
      </c>
      <c r="K217" s="5">
        <v>97</v>
      </c>
      <c r="L217" s="5">
        <v>735</v>
      </c>
      <c r="M217" s="5">
        <v>40</v>
      </c>
      <c r="N217" s="5">
        <v>4</v>
      </c>
      <c r="O217" s="5">
        <v>365</v>
      </c>
      <c r="P217" s="5">
        <v>284</v>
      </c>
      <c r="Q217" s="6">
        <v>0</v>
      </c>
      <c r="R217" s="6">
        <v>0</v>
      </c>
      <c r="S217" s="5">
        <v>1946</v>
      </c>
      <c r="T217" s="6">
        <v>0</v>
      </c>
      <c r="U217" s="5">
        <v>1</v>
      </c>
      <c r="V217" s="5">
        <v>3</v>
      </c>
      <c r="W217" s="6">
        <v>0</v>
      </c>
      <c r="X217" s="6">
        <v>0</v>
      </c>
      <c r="Y217" s="6">
        <v>0</v>
      </c>
      <c r="Z217" s="5">
        <v>173</v>
      </c>
      <c r="AA217" s="6">
        <v>0</v>
      </c>
      <c r="AB217" s="6">
        <v>0</v>
      </c>
      <c r="AC217" s="5">
        <v>8655</v>
      </c>
    </row>
    <row r="218" spans="1:29" x14ac:dyDescent="0.25">
      <c r="A218" s="4" t="s">
        <v>243</v>
      </c>
      <c r="B218" s="6">
        <v>0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5">
        <v>63</v>
      </c>
      <c r="J218" s="6">
        <v>0</v>
      </c>
      <c r="K218" s="5">
        <v>1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5">
        <v>64</v>
      </c>
    </row>
    <row r="219" spans="1:29" x14ac:dyDescent="0.25">
      <c r="A219" s="4" t="s">
        <v>244</v>
      </c>
      <c r="B219" s="6">
        <v>0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</row>
    <row r="220" spans="1:29" x14ac:dyDescent="0.25">
      <c r="A220" s="4" t="s">
        <v>245</v>
      </c>
      <c r="B220" s="5">
        <v>1</v>
      </c>
      <c r="C220" s="5">
        <v>297</v>
      </c>
      <c r="D220" s="5">
        <v>1</v>
      </c>
      <c r="E220" s="6">
        <v>0</v>
      </c>
      <c r="F220" s="6">
        <v>0</v>
      </c>
      <c r="G220" s="5">
        <v>111</v>
      </c>
      <c r="H220" s="6">
        <v>0</v>
      </c>
      <c r="I220" s="5">
        <v>2058</v>
      </c>
      <c r="J220" s="6">
        <v>0</v>
      </c>
      <c r="K220" s="5">
        <v>15</v>
      </c>
      <c r="L220" s="6">
        <v>0</v>
      </c>
      <c r="M220" s="5">
        <v>2</v>
      </c>
      <c r="N220" s="6">
        <v>0</v>
      </c>
      <c r="O220" s="6">
        <v>0</v>
      </c>
      <c r="P220" s="6">
        <v>0</v>
      </c>
      <c r="Q220" s="6">
        <v>0</v>
      </c>
      <c r="R220" s="5">
        <v>2</v>
      </c>
      <c r="S220" s="5">
        <v>665</v>
      </c>
      <c r="T220" s="6">
        <v>0</v>
      </c>
      <c r="U220" s="6">
        <v>0</v>
      </c>
      <c r="V220" s="6">
        <v>0</v>
      </c>
      <c r="W220" s="5">
        <v>1</v>
      </c>
      <c r="X220" s="6">
        <v>0</v>
      </c>
      <c r="Y220" s="6">
        <v>0</v>
      </c>
      <c r="Z220" s="5">
        <v>1</v>
      </c>
      <c r="AA220" s="6">
        <v>0</v>
      </c>
      <c r="AB220" s="6">
        <v>0</v>
      </c>
      <c r="AC220" s="5">
        <v>3154</v>
      </c>
    </row>
    <row r="221" spans="1:29" x14ac:dyDescent="0.25">
      <c r="A221" s="4" t="s">
        <v>246</v>
      </c>
      <c r="B221" s="6">
        <v>0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5">
        <v>1486</v>
      </c>
      <c r="J221" s="5">
        <v>3</v>
      </c>
      <c r="K221" s="5">
        <v>19</v>
      </c>
      <c r="L221" s="6">
        <v>0</v>
      </c>
      <c r="M221" s="6">
        <v>0</v>
      </c>
      <c r="N221" s="6">
        <v>0</v>
      </c>
      <c r="O221" s="5">
        <v>1</v>
      </c>
      <c r="P221" s="6">
        <v>0</v>
      </c>
      <c r="Q221" s="6">
        <v>0</v>
      </c>
      <c r="R221" s="6">
        <v>0</v>
      </c>
      <c r="S221" s="5">
        <v>321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5">
        <v>1</v>
      </c>
      <c r="AA221" s="6">
        <v>0</v>
      </c>
      <c r="AB221" s="6">
        <v>0</v>
      </c>
      <c r="AC221" s="5">
        <v>1831</v>
      </c>
    </row>
    <row r="222" spans="1:29" x14ac:dyDescent="0.25">
      <c r="A222" s="4" t="s">
        <v>340</v>
      </c>
      <c r="B222" s="5">
        <v>32</v>
      </c>
      <c r="C222" s="5">
        <v>672</v>
      </c>
      <c r="D222" s="5">
        <v>7</v>
      </c>
      <c r="E222" s="5">
        <v>1</v>
      </c>
      <c r="F222" s="6">
        <v>0</v>
      </c>
      <c r="G222" s="5">
        <v>949</v>
      </c>
      <c r="H222" s="6">
        <v>0</v>
      </c>
      <c r="I222" s="5">
        <v>5451</v>
      </c>
      <c r="J222" s="5">
        <v>6</v>
      </c>
      <c r="K222" s="5">
        <v>170</v>
      </c>
      <c r="L222" s="5">
        <v>290</v>
      </c>
      <c r="M222" s="5">
        <v>9</v>
      </c>
      <c r="N222" s="5">
        <v>1</v>
      </c>
      <c r="O222" s="5">
        <v>604</v>
      </c>
      <c r="P222" s="5">
        <v>553</v>
      </c>
      <c r="Q222" s="6">
        <v>0</v>
      </c>
      <c r="R222" s="6">
        <v>0</v>
      </c>
      <c r="S222" s="5">
        <v>2534</v>
      </c>
      <c r="T222" s="6">
        <v>0</v>
      </c>
      <c r="U222" s="5">
        <v>1</v>
      </c>
      <c r="V222" s="5">
        <v>7</v>
      </c>
      <c r="W222" s="5">
        <v>3</v>
      </c>
      <c r="X222" s="6">
        <v>0</v>
      </c>
      <c r="Y222" s="5">
        <v>1</v>
      </c>
      <c r="Z222" s="5">
        <v>12</v>
      </c>
      <c r="AA222" s="6">
        <v>0</v>
      </c>
      <c r="AB222" s="6">
        <v>0</v>
      </c>
      <c r="AC222" s="5">
        <v>11303</v>
      </c>
    </row>
    <row r="223" spans="1:29" x14ac:dyDescent="0.25">
      <c r="A223" s="4" t="s">
        <v>341</v>
      </c>
      <c r="B223" s="5">
        <v>1</v>
      </c>
      <c r="C223" s="5">
        <v>1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5">
        <v>573</v>
      </c>
      <c r="J223" s="6">
        <v>0</v>
      </c>
      <c r="K223" s="5">
        <v>4</v>
      </c>
      <c r="L223" s="6">
        <v>0</v>
      </c>
      <c r="M223" s="5">
        <v>1</v>
      </c>
      <c r="N223" s="6">
        <v>0</v>
      </c>
      <c r="O223" s="5">
        <v>1</v>
      </c>
      <c r="P223" s="5">
        <v>1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5">
        <v>2</v>
      </c>
      <c r="AA223" s="6">
        <v>0</v>
      </c>
      <c r="AB223" s="6">
        <v>0</v>
      </c>
      <c r="AC223" s="5">
        <v>584</v>
      </c>
    </row>
    <row r="224" spans="1:29" x14ac:dyDescent="0.25">
      <c r="A224" s="4" t="s">
        <v>342</v>
      </c>
      <c r="B224" s="5">
        <v>1</v>
      </c>
      <c r="C224" s="5">
        <v>68</v>
      </c>
      <c r="D224" s="5">
        <v>1</v>
      </c>
      <c r="E224" s="6">
        <v>0</v>
      </c>
      <c r="F224" s="6">
        <v>0</v>
      </c>
      <c r="G224" s="5">
        <v>827</v>
      </c>
      <c r="H224" s="6">
        <v>0</v>
      </c>
      <c r="I224" s="5">
        <v>2490</v>
      </c>
      <c r="J224" s="6">
        <v>0</v>
      </c>
      <c r="K224" s="5">
        <v>52</v>
      </c>
      <c r="L224" s="5">
        <v>1</v>
      </c>
      <c r="M224" s="5">
        <v>2</v>
      </c>
      <c r="N224" s="5">
        <v>3</v>
      </c>
      <c r="O224" s="5">
        <v>706</v>
      </c>
      <c r="P224" s="5">
        <v>2</v>
      </c>
      <c r="Q224" s="6">
        <v>0</v>
      </c>
      <c r="R224" s="6">
        <v>0</v>
      </c>
      <c r="S224" s="5">
        <v>833</v>
      </c>
      <c r="T224" s="6">
        <v>0</v>
      </c>
      <c r="U224" s="6">
        <v>0</v>
      </c>
      <c r="V224" s="5">
        <v>3</v>
      </c>
      <c r="W224" s="6">
        <v>0</v>
      </c>
      <c r="X224" s="6">
        <v>0</v>
      </c>
      <c r="Y224" s="6">
        <v>0</v>
      </c>
      <c r="Z224" s="5">
        <v>335</v>
      </c>
      <c r="AA224" s="6">
        <v>0</v>
      </c>
      <c r="AB224" s="6">
        <v>0</v>
      </c>
      <c r="AC224" s="5">
        <v>5324</v>
      </c>
    </row>
    <row r="225" spans="1:29" x14ac:dyDescent="0.25">
      <c r="A225" s="4" t="s">
        <v>343</v>
      </c>
      <c r="B225" s="5">
        <v>6</v>
      </c>
      <c r="C225" s="6">
        <v>0</v>
      </c>
      <c r="D225" s="6">
        <v>0</v>
      </c>
      <c r="E225" s="6">
        <v>0</v>
      </c>
      <c r="F225" s="6">
        <v>0</v>
      </c>
      <c r="G225" s="5">
        <v>321</v>
      </c>
      <c r="H225" s="6">
        <v>0</v>
      </c>
      <c r="I225" s="5">
        <v>2045</v>
      </c>
      <c r="J225" s="5">
        <v>1</v>
      </c>
      <c r="K225" s="5">
        <v>9</v>
      </c>
      <c r="L225" s="6">
        <v>0</v>
      </c>
      <c r="M225" s="6">
        <v>0</v>
      </c>
      <c r="N225" s="6">
        <v>0</v>
      </c>
      <c r="O225" s="5">
        <v>4</v>
      </c>
      <c r="P225" s="6">
        <v>0</v>
      </c>
      <c r="Q225" s="6">
        <v>0</v>
      </c>
      <c r="R225" s="6">
        <v>0</v>
      </c>
      <c r="S225" s="5">
        <v>859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5">
        <v>2</v>
      </c>
      <c r="AA225" s="6">
        <v>0</v>
      </c>
      <c r="AB225" s="6">
        <v>0</v>
      </c>
      <c r="AC225" s="5">
        <v>3247</v>
      </c>
    </row>
    <row r="226" spans="1:29" x14ac:dyDescent="0.25">
      <c r="A226" s="4" t="s">
        <v>251</v>
      </c>
      <c r="B226" s="5">
        <v>6647</v>
      </c>
      <c r="C226" s="5">
        <v>4452</v>
      </c>
      <c r="D226" s="5">
        <v>1028</v>
      </c>
      <c r="E226" s="5">
        <v>771</v>
      </c>
      <c r="F226" s="5">
        <v>19</v>
      </c>
      <c r="G226" s="5">
        <v>10563</v>
      </c>
      <c r="H226" s="5">
        <v>12</v>
      </c>
      <c r="I226" s="5">
        <v>13958</v>
      </c>
      <c r="J226" s="5">
        <v>198</v>
      </c>
      <c r="K226" s="5">
        <v>943</v>
      </c>
      <c r="L226" s="5">
        <v>6081</v>
      </c>
      <c r="M226" s="5">
        <v>2482</v>
      </c>
      <c r="N226" s="5">
        <v>517</v>
      </c>
      <c r="O226" s="5">
        <v>4760</v>
      </c>
      <c r="P226" s="5">
        <v>2467</v>
      </c>
      <c r="Q226" s="6">
        <v>0</v>
      </c>
      <c r="R226" s="5">
        <v>342</v>
      </c>
      <c r="S226" s="5">
        <v>11175</v>
      </c>
      <c r="T226" s="5">
        <v>53</v>
      </c>
      <c r="U226" s="5">
        <v>510</v>
      </c>
      <c r="V226" s="5">
        <v>555</v>
      </c>
      <c r="W226" s="5">
        <v>349</v>
      </c>
      <c r="X226" s="5">
        <v>3</v>
      </c>
      <c r="Y226" s="5">
        <v>32</v>
      </c>
      <c r="Z226" s="5">
        <v>3795</v>
      </c>
      <c r="AA226" s="5">
        <v>19</v>
      </c>
      <c r="AB226" s="6">
        <v>0</v>
      </c>
      <c r="AC226" s="5">
        <v>71731</v>
      </c>
    </row>
    <row r="227" spans="1:29" x14ac:dyDescent="0.25">
      <c r="A227" s="4" t="s">
        <v>252</v>
      </c>
      <c r="B227" s="6">
        <v>0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5">
        <v>412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5">
        <v>412</v>
      </c>
    </row>
    <row r="228" spans="1:29" x14ac:dyDescent="0.25">
      <c r="A228" s="4" t="s">
        <v>253</v>
      </c>
      <c r="B228" s="5">
        <v>253</v>
      </c>
      <c r="C228" s="6">
        <v>0</v>
      </c>
      <c r="D228" s="6">
        <v>0</v>
      </c>
      <c r="E228" s="5">
        <v>1</v>
      </c>
      <c r="F228" s="6">
        <v>0</v>
      </c>
      <c r="G228" s="5">
        <v>2</v>
      </c>
      <c r="H228" s="5">
        <v>11</v>
      </c>
      <c r="I228" s="5">
        <v>669</v>
      </c>
      <c r="J228" s="6">
        <v>0</v>
      </c>
      <c r="K228" s="5">
        <v>1</v>
      </c>
      <c r="L228" s="5">
        <v>2</v>
      </c>
      <c r="M228" s="5">
        <v>127</v>
      </c>
      <c r="N228" s="5">
        <v>5</v>
      </c>
      <c r="O228" s="5">
        <v>1</v>
      </c>
      <c r="P228" s="6">
        <v>0</v>
      </c>
      <c r="Q228" s="6">
        <v>0</v>
      </c>
      <c r="R228" s="6">
        <v>0</v>
      </c>
      <c r="S228" s="5">
        <v>3</v>
      </c>
      <c r="T228" s="6">
        <v>0</v>
      </c>
      <c r="U228" s="6">
        <v>0</v>
      </c>
      <c r="V228" s="5">
        <v>2</v>
      </c>
      <c r="W228" s="6">
        <v>0</v>
      </c>
      <c r="X228" s="6">
        <v>0</v>
      </c>
      <c r="Y228" s="6">
        <v>0</v>
      </c>
      <c r="Z228" s="5">
        <v>1</v>
      </c>
      <c r="AA228" s="6">
        <v>0</v>
      </c>
      <c r="AB228" s="6">
        <v>0</v>
      </c>
      <c r="AC228" s="5">
        <v>1078</v>
      </c>
    </row>
    <row r="229" spans="1:29" x14ac:dyDescent="0.25">
      <c r="A229" s="4" t="s">
        <v>254</v>
      </c>
      <c r="B229" s="6">
        <v>0</v>
      </c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</row>
    <row r="230" spans="1:29" x14ac:dyDescent="0.25">
      <c r="A230" s="4" t="s">
        <v>255</v>
      </c>
      <c r="B230" s="5">
        <v>198</v>
      </c>
      <c r="C230" s="5">
        <v>4</v>
      </c>
      <c r="D230" s="5">
        <v>1</v>
      </c>
      <c r="E230" s="6">
        <v>0</v>
      </c>
      <c r="F230" s="5">
        <v>30</v>
      </c>
      <c r="G230" s="5">
        <v>130</v>
      </c>
      <c r="H230" s="5">
        <v>37</v>
      </c>
      <c r="I230" s="5">
        <v>115</v>
      </c>
      <c r="J230" s="5">
        <v>1</v>
      </c>
      <c r="K230" s="5">
        <v>4</v>
      </c>
      <c r="L230" s="5">
        <v>52</v>
      </c>
      <c r="M230" s="5">
        <v>1</v>
      </c>
      <c r="N230" s="5">
        <v>3</v>
      </c>
      <c r="O230" s="5">
        <v>57</v>
      </c>
      <c r="P230" s="6">
        <v>0</v>
      </c>
      <c r="Q230" s="6">
        <v>0</v>
      </c>
      <c r="R230" s="6">
        <v>0</v>
      </c>
      <c r="S230" s="5">
        <v>273</v>
      </c>
      <c r="T230" s="6">
        <v>0</v>
      </c>
      <c r="U230" s="6">
        <v>0</v>
      </c>
      <c r="V230" s="5">
        <v>2</v>
      </c>
      <c r="W230" s="6">
        <v>0</v>
      </c>
      <c r="X230" s="6">
        <v>0</v>
      </c>
      <c r="Y230" s="5">
        <v>1</v>
      </c>
      <c r="Z230" s="5">
        <v>36</v>
      </c>
      <c r="AA230" s="6">
        <v>0</v>
      </c>
      <c r="AB230" s="6">
        <v>0</v>
      </c>
      <c r="AC230" s="5">
        <v>945</v>
      </c>
    </row>
    <row r="231" spans="1:29" x14ac:dyDescent="0.25">
      <c r="A231" s="4" t="s">
        <v>256</v>
      </c>
    </row>
    <row r="232" spans="1:29" x14ac:dyDescent="0.25">
      <c r="A232" s="7" t="s">
        <v>257</v>
      </c>
    </row>
    <row r="233" spans="1:29" x14ac:dyDescent="0.25">
      <c r="A233" s="7" t="s">
        <v>344</v>
      </c>
    </row>
  </sheetData>
  <mergeCells count="29">
    <mergeCell ref="K7"/>
    <mergeCell ref="L7"/>
    <mergeCell ref="M7"/>
    <mergeCell ref="N7"/>
    <mergeCell ref="O7"/>
    <mergeCell ref="F7"/>
    <mergeCell ref="G7"/>
    <mergeCell ref="H7"/>
    <mergeCell ref="I7"/>
    <mergeCell ref="J7"/>
    <mergeCell ref="A6:A7"/>
    <mergeCell ref="B7"/>
    <mergeCell ref="C7"/>
    <mergeCell ref="D7"/>
    <mergeCell ref="E7"/>
    <mergeCell ref="P7"/>
    <mergeCell ref="Q7"/>
    <mergeCell ref="R7"/>
    <mergeCell ref="S7"/>
    <mergeCell ref="T7"/>
    <mergeCell ref="Z7"/>
    <mergeCell ref="AA7"/>
    <mergeCell ref="AB7"/>
    <mergeCell ref="AC7"/>
    <mergeCell ref="U7"/>
    <mergeCell ref="V7"/>
    <mergeCell ref="W7"/>
    <mergeCell ref="X7"/>
    <mergeCell ref="Y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3"/>
  <sheetViews>
    <sheetView workbookViewId="0">
      <selection activeCell="D1" sqref="D1"/>
    </sheetView>
  </sheetViews>
  <sheetFormatPr defaultColWidth="11.42578125" defaultRowHeight="15" x14ac:dyDescent="0.25"/>
  <cols>
    <col min="2" max="2" width="11" style="17" customWidth="1"/>
    <col min="3" max="3" width="14.28515625" style="17" customWidth="1"/>
  </cols>
  <sheetData>
    <row r="1" spans="1:3" ht="45.75" thickBot="1" x14ac:dyDescent="0.3">
      <c r="A1" t="s">
        <v>262</v>
      </c>
      <c r="B1" s="19" t="s">
        <v>33</v>
      </c>
      <c r="C1" s="18" t="s">
        <v>261</v>
      </c>
    </row>
    <row r="2" spans="1:3" x14ac:dyDescent="0.25">
      <c r="A2" s="4" t="s">
        <v>34</v>
      </c>
      <c r="B2" s="6">
        <v>5794</v>
      </c>
      <c r="C2" s="6">
        <v>1608</v>
      </c>
    </row>
    <row r="3" spans="1:3" x14ac:dyDescent="0.25">
      <c r="A3" s="4" t="s">
        <v>36</v>
      </c>
      <c r="B3" s="6">
        <v>1</v>
      </c>
      <c r="C3" s="6">
        <v>0</v>
      </c>
    </row>
    <row r="4" spans="1:3" x14ac:dyDescent="0.25">
      <c r="A4" s="4" t="s">
        <v>37</v>
      </c>
      <c r="B4" s="6">
        <v>366</v>
      </c>
      <c r="C4" s="6">
        <v>366</v>
      </c>
    </row>
    <row r="5" spans="1:3" x14ac:dyDescent="0.25">
      <c r="A5" s="4" t="s">
        <v>38</v>
      </c>
      <c r="B5" s="6">
        <v>149</v>
      </c>
      <c r="C5" s="6">
        <v>1</v>
      </c>
    </row>
    <row r="6" spans="1:3" x14ac:dyDescent="0.25">
      <c r="A6" s="4" t="s">
        <v>39</v>
      </c>
      <c r="B6" s="6">
        <v>848</v>
      </c>
      <c r="C6" s="6">
        <v>465</v>
      </c>
    </row>
    <row r="7" spans="1:3" x14ac:dyDescent="0.25">
      <c r="A7" s="4" t="s">
        <v>40</v>
      </c>
      <c r="B7" s="6">
        <v>603</v>
      </c>
      <c r="C7" s="6">
        <v>534</v>
      </c>
    </row>
    <row r="8" spans="1:3" x14ac:dyDescent="0.25">
      <c r="A8" s="4" t="s">
        <v>41</v>
      </c>
      <c r="B8" s="6">
        <v>0</v>
      </c>
      <c r="C8" s="6">
        <v>0</v>
      </c>
    </row>
    <row r="9" spans="1:3" x14ac:dyDescent="0.25">
      <c r="A9" s="4" t="s">
        <v>42</v>
      </c>
      <c r="B9" s="6">
        <v>157</v>
      </c>
      <c r="C9" s="6">
        <v>157</v>
      </c>
    </row>
    <row r="10" spans="1:3" x14ac:dyDescent="0.25">
      <c r="A10" s="4" t="s">
        <v>43</v>
      </c>
      <c r="B10" s="6">
        <v>0</v>
      </c>
      <c r="C10" s="6">
        <v>0</v>
      </c>
    </row>
    <row r="11" spans="1:3" x14ac:dyDescent="0.25">
      <c r="A11" s="4" t="s">
        <v>44</v>
      </c>
      <c r="B11" s="6">
        <v>22</v>
      </c>
      <c r="C11" s="6">
        <v>22</v>
      </c>
    </row>
    <row r="12" spans="1:3" x14ac:dyDescent="0.25">
      <c r="A12" s="4" t="s">
        <v>45</v>
      </c>
      <c r="B12" s="6">
        <v>343</v>
      </c>
      <c r="C12" s="6">
        <v>343</v>
      </c>
    </row>
    <row r="13" spans="1:3" x14ac:dyDescent="0.25">
      <c r="A13" s="4" t="s">
        <v>46</v>
      </c>
      <c r="B13" s="6">
        <v>15</v>
      </c>
      <c r="C13" s="6">
        <v>2</v>
      </c>
    </row>
    <row r="14" spans="1:3" x14ac:dyDescent="0.25">
      <c r="A14" s="4" t="s">
        <v>47</v>
      </c>
      <c r="B14" s="6">
        <v>658</v>
      </c>
      <c r="C14" s="6">
        <v>269</v>
      </c>
    </row>
    <row r="15" spans="1:3" x14ac:dyDescent="0.25">
      <c r="A15" s="4" t="s">
        <v>48</v>
      </c>
      <c r="B15" s="6">
        <v>1</v>
      </c>
      <c r="C15" s="6">
        <v>0</v>
      </c>
    </row>
    <row r="16" spans="1:3" x14ac:dyDescent="0.25">
      <c r="A16" s="4" t="s">
        <v>49</v>
      </c>
      <c r="B16" s="6">
        <v>1</v>
      </c>
      <c r="C16" s="6">
        <v>1</v>
      </c>
    </row>
    <row r="17" spans="1:3" x14ac:dyDescent="0.25">
      <c r="A17" s="4" t="s">
        <v>50</v>
      </c>
      <c r="B17" s="6">
        <v>761</v>
      </c>
      <c r="C17" s="6">
        <v>366</v>
      </c>
    </row>
    <row r="18" spans="1:3" x14ac:dyDescent="0.25">
      <c r="A18" s="4" t="s">
        <v>51</v>
      </c>
      <c r="B18" s="6">
        <v>0</v>
      </c>
      <c r="C18" s="6">
        <v>0</v>
      </c>
    </row>
    <row r="19" spans="1:3" x14ac:dyDescent="0.25">
      <c r="A19" s="4" t="s">
        <v>52</v>
      </c>
      <c r="B19" s="6">
        <v>71</v>
      </c>
      <c r="C19" s="6">
        <v>20</v>
      </c>
    </row>
    <row r="20" spans="1:3" x14ac:dyDescent="0.25">
      <c r="A20" s="4" t="s">
        <v>53</v>
      </c>
      <c r="B20" s="6">
        <v>13997</v>
      </c>
      <c r="C20" s="6">
        <v>2739</v>
      </c>
    </row>
    <row r="21" spans="1:3" x14ac:dyDescent="0.25">
      <c r="A21" s="4" t="s">
        <v>54</v>
      </c>
      <c r="B21" s="6">
        <v>0</v>
      </c>
      <c r="C21" s="6">
        <v>0</v>
      </c>
    </row>
    <row r="22" spans="1:3" x14ac:dyDescent="0.25">
      <c r="A22" s="4" t="s">
        <v>55</v>
      </c>
      <c r="B22" s="6">
        <v>4</v>
      </c>
      <c r="C22" s="6">
        <v>4</v>
      </c>
    </row>
    <row r="23" spans="1:3" x14ac:dyDescent="0.25">
      <c r="A23" s="4" t="s">
        <v>56</v>
      </c>
      <c r="B23" s="6">
        <v>2</v>
      </c>
      <c r="C23" s="6">
        <v>1</v>
      </c>
    </row>
    <row r="24" spans="1:3" x14ac:dyDescent="0.25">
      <c r="A24" s="4" t="s">
        <v>57</v>
      </c>
      <c r="B24" s="6">
        <v>0</v>
      </c>
      <c r="C24" s="6">
        <v>0</v>
      </c>
    </row>
    <row r="25" spans="1:3" x14ac:dyDescent="0.25">
      <c r="A25" s="4" t="s">
        <v>58</v>
      </c>
      <c r="B25" s="6">
        <v>0</v>
      </c>
      <c r="C25" s="6">
        <v>0</v>
      </c>
    </row>
    <row r="26" spans="1:3" x14ac:dyDescent="0.25">
      <c r="A26" s="4" t="s">
        <v>59</v>
      </c>
      <c r="B26" s="6">
        <v>943</v>
      </c>
      <c r="C26" s="6">
        <v>2</v>
      </c>
    </row>
    <row r="27" spans="1:3" x14ac:dyDescent="0.25">
      <c r="A27" s="4" t="s">
        <v>60</v>
      </c>
      <c r="B27" s="6">
        <v>0</v>
      </c>
      <c r="C27" s="6">
        <v>0</v>
      </c>
    </row>
    <row r="28" spans="1:3" x14ac:dyDescent="0.25">
      <c r="A28" s="4" t="s">
        <v>61</v>
      </c>
      <c r="B28" s="6">
        <v>1699</v>
      </c>
      <c r="C28" s="6">
        <v>1449</v>
      </c>
    </row>
    <row r="29" spans="1:3" x14ac:dyDescent="0.25">
      <c r="A29" s="4" t="s">
        <v>62</v>
      </c>
      <c r="B29" s="6">
        <v>0</v>
      </c>
      <c r="C29" s="6">
        <v>0</v>
      </c>
    </row>
    <row r="30" spans="1:3" x14ac:dyDescent="0.25">
      <c r="A30" s="4" t="s">
        <v>63</v>
      </c>
      <c r="B30" s="6">
        <v>0</v>
      </c>
      <c r="C30" s="6">
        <v>0</v>
      </c>
    </row>
    <row r="31" spans="1:3" x14ac:dyDescent="0.25">
      <c r="A31" s="4" t="s">
        <v>64</v>
      </c>
      <c r="B31" s="6">
        <v>7005</v>
      </c>
      <c r="C31" s="6">
        <v>1352</v>
      </c>
    </row>
    <row r="32" spans="1:3" x14ac:dyDescent="0.25">
      <c r="A32" s="4" t="s">
        <v>65</v>
      </c>
      <c r="B32" s="6">
        <v>5</v>
      </c>
      <c r="C32" s="6">
        <v>3</v>
      </c>
    </row>
    <row r="33" spans="1:3" x14ac:dyDescent="0.25">
      <c r="A33" s="4" t="s">
        <v>66</v>
      </c>
      <c r="B33" s="6">
        <v>0</v>
      </c>
      <c r="C33" s="6">
        <v>0</v>
      </c>
    </row>
    <row r="34" spans="1:3" x14ac:dyDescent="0.25">
      <c r="A34" s="4" t="s">
        <v>67</v>
      </c>
      <c r="B34" s="6">
        <v>240</v>
      </c>
      <c r="C34" s="6">
        <v>34</v>
      </c>
    </row>
    <row r="35" spans="1:3" x14ac:dyDescent="0.25">
      <c r="A35" s="4" t="s">
        <v>68</v>
      </c>
      <c r="B35" s="6">
        <v>0</v>
      </c>
      <c r="C35" s="6">
        <v>0</v>
      </c>
    </row>
    <row r="36" spans="1:3" x14ac:dyDescent="0.25">
      <c r="A36" s="4" t="s">
        <v>69</v>
      </c>
      <c r="B36" s="6">
        <v>6977</v>
      </c>
      <c r="C36" s="6">
        <v>4592</v>
      </c>
    </row>
    <row r="37" spans="1:3" x14ac:dyDescent="0.25">
      <c r="A37" s="4" t="s">
        <v>70</v>
      </c>
      <c r="B37" s="6">
        <v>0</v>
      </c>
      <c r="C37" s="6">
        <v>0</v>
      </c>
    </row>
    <row r="38" spans="1:3" x14ac:dyDescent="0.25">
      <c r="A38" s="4" t="s">
        <v>71</v>
      </c>
      <c r="B38" s="6">
        <v>1</v>
      </c>
      <c r="C38" s="6">
        <v>0</v>
      </c>
    </row>
    <row r="39" spans="1:3" x14ac:dyDescent="0.25">
      <c r="A39" s="4" t="s">
        <v>72</v>
      </c>
      <c r="B39" s="6">
        <v>18994</v>
      </c>
      <c r="C39" s="6">
        <v>4446</v>
      </c>
    </row>
    <row r="40" spans="1:3" hidden="1" x14ac:dyDescent="0.25">
      <c r="A40" s="4" t="s">
        <v>3</v>
      </c>
      <c r="B40" s="6">
        <v>295178</v>
      </c>
      <c r="C40" s="6">
        <v>33773</v>
      </c>
    </row>
    <row r="41" spans="1:3" x14ac:dyDescent="0.25">
      <c r="A41" s="4" t="s">
        <v>73</v>
      </c>
      <c r="B41" s="6">
        <v>0</v>
      </c>
      <c r="C41" s="6">
        <v>0</v>
      </c>
    </row>
    <row r="42" spans="1:3" x14ac:dyDescent="0.25">
      <c r="A42" s="4" t="s">
        <v>74</v>
      </c>
      <c r="B42" s="6">
        <v>1375</v>
      </c>
      <c r="C42" s="6">
        <v>553</v>
      </c>
    </row>
    <row r="43" spans="1:3" x14ac:dyDescent="0.25">
      <c r="A43" s="4" t="s">
        <v>75</v>
      </c>
      <c r="B43" s="6">
        <v>7</v>
      </c>
      <c r="C43" s="6">
        <v>1</v>
      </c>
    </row>
    <row r="44" spans="1:3" x14ac:dyDescent="0.25">
      <c r="A44" s="4" t="s">
        <v>76</v>
      </c>
      <c r="B44" s="6">
        <v>0</v>
      </c>
      <c r="C44" s="6">
        <v>0</v>
      </c>
    </row>
    <row r="45" spans="1:3" x14ac:dyDescent="0.25">
      <c r="A45" s="4" t="s">
        <v>77</v>
      </c>
      <c r="B45" s="6">
        <v>0</v>
      </c>
      <c r="C45" s="6">
        <v>0</v>
      </c>
    </row>
    <row r="46" spans="1:3" x14ac:dyDescent="0.25">
      <c r="A46" s="4" t="s">
        <v>78</v>
      </c>
      <c r="B46" s="6">
        <v>0</v>
      </c>
      <c r="C46" s="6">
        <v>0</v>
      </c>
    </row>
    <row r="47" spans="1:3" x14ac:dyDescent="0.25">
      <c r="A47" s="4" t="s">
        <v>79</v>
      </c>
      <c r="B47" s="6">
        <v>2013</v>
      </c>
      <c r="C47" s="6">
        <v>927</v>
      </c>
    </row>
    <row r="48" spans="1:3" x14ac:dyDescent="0.25">
      <c r="A48" s="4" t="s">
        <v>80</v>
      </c>
      <c r="B48" s="6">
        <v>3</v>
      </c>
      <c r="C48" s="6">
        <v>1</v>
      </c>
    </row>
    <row r="49" spans="1:3" x14ac:dyDescent="0.25">
      <c r="A49" s="4" t="s">
        <v>81</v>
      </c>
      <c r="B49" s="6">
        <v>0</v>
      </c>
      <c r="C49" s="6">
        <v>0</v>
      </c>
    </row>
    <row r="50" spans="1:3" x14ac:dyDescent="0.25">
      <c r="A50" s="4" t="s">
        <v>82</v>
      </c>
      <c r="B50" s="6">
        <v>0</v>
      </c>
      <c r="C50" s="6">
        <v>0</v>
      </c>
    </row>
    <row r="51" spans="1:3" x14ac:dyDescent="0.25">
      <c r="A51" s="4" t="s">
        <v>83</v>
      </c>
      <c r="B51" s="6">
        <v>7384</v>
      </c>
      <c r="C51" s="6">
        <v>1902</v>
      </c>
    </row>
    <row r="52" spans="1:3" x14ac:dyDescent="0.25">
      <c r="A52" s="4" t="s">
        <v>84</v>
      </c>
      <c r="B52" s="6">
        <v>44535</v>
      </c>
      <c r="C52" s="6">
        <v>9401</v>
      </c>
    </row>
    <row r="53" spans="1:3" x14ac:dyDescent="0.25">
      <c r="A53" s="4" t="s">
        <v>85</v>
      </c>
      <c r="B53" s="6">
        <v>0</v>
      </c>
      <c r="C53" s="6">
        <v>0</v>
      </c>
    </row>
    <row r="54" spans="1:3" x14ac:dyDescent="0.25">
      <c r="A54" s="4" t="s">
        <v>86</v>
      </c>
      <c r="B54" s="6">
        <v>1</v>
      </c>
      <c r="C54" s="6">
        <v>0</v>
      </c>
    </row>
    <row r="55" spans="1:3" x14ac:dyDescent="0.25">
      <c r="A55" s="4" t="s">
        <v>87</v>
      </c>
      <c r="B55" s="6">
        <v>24</v>
      </c>
      <c r="C55" s="6">
        <v>23</v>
      </c>
    </row>
    <row r="56" spans="1:3" x14ac:dyDescent="0.25">
      <c r="A56" s="4" t="s">
        <v>88</v>
      </c>
      <c r="B56" s="6">
        <v>1</v>
      </c>
      <c r="C56" s="6">
        <v>0</v>
      </c>
    </row>
    <row r="57" spans="1:3" x14ac:dyDescent="0.25">
      <c r="A57" s="4" t="s">
        <v>89</v>
      </c>
      <c r="B57" s="6">
        <v>445</v>
      </c>
      <c r="C57" s="6">
        <v>7</v>
      </c>
    </row>
    <row r="58" spans="1:3" x14ac:dyDescent="0.25">
      <c r="A58" s="4" t="s">
        <v>90</v>
      </c>
      <c r="B58" s="6">
        <v>4</v>
      </c>
      <c r="C58" s="6">
        <v>3</v>
      </c>
    </row>
    <row r="59" spans="1:3" x14ac:dyDescent="0.25">
      <c r="A59" s="4" t="s">
        <v>91</v>
      </c>
      <c r="B59" s="6">
        <v>4</v>
      </c>
      <c r="C59" s="6">
        <v>0</v>
      </c>
    </row>
    <row r="60" spans="1:3" x14ac:dyDescent="0.25">
      <c r="A60" s="4" t="s">
        <v>92</v>
      </c>
      <c r="B60" s="6">
        <v>23</v>
      </c>
      <c r="C60" s="6">
        <v>23</v>
      </c>
    </row>
    <row r="61" spans="1:3" x14ac:dyDescent="0.25">
      <c r="A61" s="4" t="s">
        <v>93</v>
      </c>
      <c r="B61" s="6">
        <v>10202</v>
      </c>
      <c r="C61" s="6">
        <v>1763</v>
      </c>
    </row>
    <row r="62" spans="1:3" x14ac:dyDescent="0.25">
      <c r="A62" s="4" t="s">
        <v>94</v>
      </c>
      <c r="B62" s="6">
        <v>9743</v>
      </c>
      <c r="C62" s="6">
        <v>1100</v>
      </c>
    </row>
    <row r="63" spans="1:3" x14ac:dyDescent="0.25">
      <c r="A63" s="4" t="s">
        <v>95</v>
      </c>
      <c r="B63" s="6">
        <v>7</v>
      </c>
      <c r="C63" s="6">
        <v>1</v>
      </c>
    </row>
    <row r="64" spans="1:3" x14ac:dyDescent="0.25">
      <c r="A64" s="4" t="s">
        <v>96</v>
      </c>
      <c r="B64" s="6">
        <v>3</v>
      </c>
      <c r="C64" s="6">
        <v>3</v>
      </c>
    </row>
    <row r="65" spans="1:3" x14ac:dyDescent="0.25">
      <c r="A65" s="4" t="s">
        <v>97</v>
      </c>
      <c r="B65" s="6">
        <v>0</v>
      </c>
      <c r="C65" s="6">
        <v>0</v>
      </c>
    </row>
    <row r="66" spans="1:3" x14ac:dyDescent="0.25">
      <c r="A66" s="4" t="s">
        <v>98</v>
      </c>
      <c r="B66" s="6">
        <v>0</v>
      </c>
      <c r="C66" s="6">
        <v>0</v>
      </c>
    </row>
    <row r="67" spans="1:3" x14ac:dyDescent="0.25">
      <c r="A67" s="4" t="s">
        <v>99</v>
      </c>
      <c r="B67" s="6">
        <v>1</v>
      </c>
      <c r="C67" s="6">
        <v>1</v>
      </c>
    </row>
    <row r="68" spans="1:3" x14ac:dyDescent="0.25">
      <c r="A68" s="4" t="s">
        <v>100</v>
      </c>
      <c r="B68" s="6">
        <v>0</v>
      </c>
      <c r="C68" s="6">
        <v>0</v>
      </c>
    </row>
    <row r="69" spans="1:3" x14ac:dyDescent="0.25">
      <c r="A69" s="4" t="s">
        <v>101</v>
      </c>
      <c r="B69" s="6">
        <v>0</v>
      </c>
      <c r="C69" s="6">
        <v>0</v>
      </c>
    </row>
    <row r="70" spans="1:3" x14ac:dyDescent="0.25">
      <c r="A70" s="4" t="s">
        <v>102</v>
      </c>
      <c r="B70" s="6">
        <v>2</v>
      </c>
      <c r="C70" s="6">
        <v>2</v>
      </c>
    </row>
    <row r="71" spans="1:3" x14ac:dyDescent="0.25">
      <c r="A71" s="4" t="s">
        <v>103</v>
      </c>
      <c r="B71" s="6">
        <v>0</v>
      </c>
      <c r="C71" s="6">
        <v>0</v>
      </c>
    </row>
    <row r="72" spans="1:3" x14ac:dyDescent="0.25">
      <c r="A72" s="4" t="s">
        <v>104</v>
      </c>
      <c r="B72" s="6">
        <v>1836</v>
      </c>
      <c r="C72" s="6">
        <v>753</v>
      </c>
    </row>
    <row r="73" spans="1:3" x14ac:dyDescent="0.25">
      <c r="A73" s="4" t="s">
        <v>105</v>
      </c>
      <c r="B73" s="6">
        <v>3323</v>
      </c>
      <c r="C73" s="6">
        <v>2419</v>
      </c>
    </row>
    <row r="74" spans="1:3" x14ac:dyDescent="0.25">
      <c r="A74" s="4" t="s">
        <v>106</v>
      </c>
      <c r="B74" s="6">
        <v>1</v>
      </c>
      <c r="C74" s="6">
        <v>0</v>
      </c>
    </row>
    <row r="75" spans="1:3" x14ac:dyDescent="0.25">
      <c r="A75" s="4" t="s">
        <v>107</v>
      </c>
      <c r="B75" s="6">
        <v>612</v>
      </c>
      <c r="C75" s="6">
        <v>175</v>
      </c>
    </row>
    <row r="76" spans="1:3" x14ac:dyDescent="0.25">
      <c r="A76" s="4" t="s">
        <v>108</v>
      </c>
      <c r="B76" s="6">
        <v>1111</v>
      </c>
      <c r="C76" s="6">
        <v>508</v>
      </c>
    </row>
    <row r="77" spans="1:3" x14ac:dyDescent="0.25">
      <c r="A77" s="4" t="s">
        <v>109</v>
      </c>
      <c r="B77" s="6">
        <v>7196</v>
      </c>
      <c r="C77" s="6">
        <v>1754</v>
      </c>
    </row>
    <row r="78" spans="1:3" x14ac:dyDescent="0.25">
      <c r="A78" s="4" t="s">
        <v>110</v>
      </c>
      <c r="B78" s="6">
        <v>2245</v>
      </c>
      <c r="C78" s="6">
        <v>682</v>
      </c>
    </row>
    <row r="79" spans="1:3" x14ac:dyDescent="0.25">
      <c r="A79" s="4" t="s">
        <v>111</v>
      </c>
      <c r="B79" s="6">
        <v>4573</v>
      </c>
      <c r="C79" s="6">
        <v>1706</v>
      </c>
    </row>
    <row r="80" spans="1:3" x14ac:dyDescent="0.25">
      <c r="A80" s="4" t="s">
        <v>112</v>
      </c>
      <c r="B80" s="6">
        <v>67681</v>
      </c>
      <c r="C80" s="6">
        <v>15575</v>
      </c>
    </row>
    <row r="81" spans="1:3" x14ac:dyDescent="0.25">
      <c r="A81" s="4" t="s">
        <v>113</v>
      </c>
      <c r="B81" s="6">
        <v>155</v>
      </c>
      <c r="C81" s="6">
        <v>103</v>
      </c>
    </row>
    <row r="82" spans="1:3" x14ac:dyDescent="0.25">
      <c r="A82" s="4" t="s">
        <v>114</v>
      </c>
      <c r="B82" s="6">
        <v>3378</v>
      </c>
      <c r="C82" s="6">
        <v>2292</v>
      </c>
    </row>
    <row r="83" spans="1:3" x14ac:dyDescent="0.25">
      <c r="A83" s="4" t="s">
        <v>115</v>
      </c>
      <c r="B83" s="6">
        <v>0</v>
      </c>
      <c r="C83" s="6">
        <v>0</v>
      </c>
    </row>
    <row r="84" spans="1:3" x14ac:dyDescent="0.25">
      <c r="A84" s="4" t="s">
        <v>116</v>
      </c>
      <c r="B84" s="6">
        <v>983</v>
      </c>
      <c r="C84" s="6">
        <v>633</v>
      </c>
    </row>
    <row r="85" spans="1:3" x14ac:dyDescent="0.25">
      <c r="A85" s="4" t="s">
        <v>117</v>
      </c>
      <c r="B85" s="6">
        <v>0</v>
      </c>
      <c r="C85" s="6">
        <v>0</v>
      </c>
    </row>
    <row r="86" spans="1:3" x14ac:dyDescent="0.25">
      <c r="A86" s="4" t="s">
        <v>118</v>
      </c>
      <c r="B86" s="6">
        <v>1</v>
      </c>
      <c r="C86" s="6">
        <v>0</v>
      </c>
    </row>
    <row r="87" spans="1:3" x14ac:dyDescent="0.25">
      <c r="A87" s="4" t="s">
        <v>119</v>
      </c>
      <c r="B87" s="6">
        <v>7</v>
      </c>
      <c r="C87" s="6">
        <v>6</v>
      </c>
    </row>
    <row r="88" spans="1:3" x14ac:dyDescent="0.25">
      <c r="A88" s="4" t="s">
        <v>120</v>
      </c>
      <c r="B88" s="6">
        <v>3990</v>
      </c>
      <c r="C88" s="6">
        <v>2844</v>
      </c>
    </row>
    <row r="89" spans="1:3" x14ac:dyDescent="0.25">
      <c r="A89" s="4" t="s">
        <v>121</v>
      </c>
      <c r="B89" s="6">
        <v>938</v>
      </c>
      <c r="C89" s="6">
        <v>884</v>
      </c>
    </row>
    <row r="90" spans="1:3" x14ac:dyDescent="0.25">
      <c r="A90" s="4" t="s">
        <v>122</v>
      </c>
      <c r="B90" s="6">
        <v>2256</v>
      </c>
      <c r="C90" s="6">
        <v>1122</v>
      </c>
    </row>
    <row r="91" spans="1:3" x14ac:dyDescent="0.25">
      <c r="A91" s="4" t="s">
        <v>123</v>
      </c>
      <c r="B91" s="6">
        <v>424</v>
      </c>
      <c r="C91" s="6">
        <v>397</v>
      </c>
    </row>
    <row r="92" spans="1:3" x14ac:dyDescent="0.25">
      <c r="A92" s="4" t="s">
        <v>124</v>
      </c>
      <c r="B92" s="6">
        <v>2</v>
      </c>
      <c r="C92" s="6">
        <v>0</v>
      </c>
    </row>
    <row r="93" spans="1:3" x14ac:dyDescent="0.25">
      <c r="A93" s="4" t="s">
        <v>125</v>
      </c>
      <c r="B93" s="6">
        <v>0</v>
      </c>
      <c r="C93" s="6">
        <v>0</v>
      </c>
    </row>
    <row r="94" spans="1:3" x14ac:dyDescent="0.25">
      <c r="A94" s="4" t="s">
        <v>126</v>
      </c>
      <c r="B94" s="6">
        <v>342</v>
      </c>
      <c r="C94" s="6">
        <v>342</v>
      </c>
    </row>
    <row r="95" spans="1:3" x14ac:dyDescent="0.25">
      <c r="A95" s="4" t="s">
        <v>127</v>
      </c>
      <c r="B95" s="6">
        <v>0</v>
      </c>
      <c r="C95" s="6">
        <v>0</v>
      </c>
    </row>
    <row r="96" spans="1:3" x14ac:dyDescent="0.25">
      <c r="A96" s="4" t="s">
        <v>128</v>
      </c>
      <c r="B96" s="6">
        <v>5</v>
      </c>
      <c r="C96" s="6">
        <v>4</v>
      </c>
    </row>
    <row r="97" spans="1:3" x14ac:dyDescent="0.25">
      <c r="A97" s="4" t="s">
        <v>129</v>
      </c>
      <c r="B97" s="6">
        <v>1</v>
      </c>
      <c r="C97" s="6">
        <v>1</v>
      </c>
    </row>
    <row r="98" spans="1:3" x14ac:dyDescent="0.25">
      <c r="A98" s="4" t="s">
        <v>130</v>
      </c>
      <c r="B98" s="6">
        <v>0</v>
      </c>
      <c r="C98" s="6">
        <v>0</v>
      </c>
    </row>
    <row r="99" spans="1:3" x14ac:dyDescent="0.25">
      <c r="A99" s="4" t="s">
        <v>131</v>
      </c>
      <c r="B99" s="6">
        <v>2272</v>
      </c>
      <c r="C99" s="6">
        <v>1705</v>
      </c>
    </row>
    <row r="100" spans="1:3" x14ac:dyDescent="0.25">
      <c r="A100" s="4" t="s">
        <v>132</v>
      </c>
      <c r="B100" s="6">
        <v>2009</v>
      </c>
      <c r="C100" s="6">
        <v>352</v>
      </c>
    </row>
    <row r="101" spans="1:3" x14ac:dyDescent="0.25">
      <c r="A101" s="4" t="s">
        <v>133</v>
      </c>
      <c r="B101" s="6">
        <v>8276</v>
      </c>
      <c r="C101" s="6">
        <v>2545</v>
      </c>
    </row>
    <row r="102" spans="1:3" x14ac:dyDescent="0.25">
      <c r="A102" s="4" t="s">
        <v>134</v>
      </c>
      <c r="B102" s="6">
        <v>940</v>
      </c>
      <c r="C102" s="6">
        <v>453</v>
      </c>
    </row>
    <row r="103" spans="1:3" x14ac:dyDescent="0.25">
      <c r="A103" s="4" t="s">
        <v>135</v>
      </c>
      <c r="B103" s="6">
        <v>853</v>
      </c>
      <c r="C103" s="6">
        <v>552</v>
      </c>
    </row>
    <row r="104" spans="1:3" x14ac:dyDescent="0.25">
      <c r="A104" s="4" t="s">
        <v>136</v>
      </c>
      <c r="B104" s="6">
        <v>0</v>
      </c>
      <c r="C104" s="6">
        <v>0</v>
      </c>
    </row>
    <row r="105" spans="1:3" x14ac:dyDescent="0.25">
      <c r="A105" s="4" t="s">
        <v>137</v>
      </c>
      <c r="B105" s="6">
        <v>0</v>
      </c>
      <c r="C105" s="6">
        <v>0</v>
      </c>
    </row>
    <row r="106" spans="1:3" x14ac:dyDescent="0.25">
      <c r="A106" s="4" t="s">
        <v>138</v>
      </c>
      <c r="B106" s="6">
        <v>3944</v>
      </c>
      <c r="C106" s="6">
        <v>1032</v>
      </c>
    </row>
    <row r="107" spans="1:3" x14ac:dyDescent="0.25">
      <c r="A107" s="4" t="s">
        <v>139</v>
      </c>
      <c r="B107" s="6">
        <v>1327</v>
      </c>
      <c r="C107" s="6">
        <v>883</v>
      </c>
    </row>
    <row r="108" spans="1:3" x14ac:dyDescent="0.25">
      <c r="A108" s="4" t="s">
        <v>140</v>
      </c>
      <c r="B108" s="6">
        <v>0</v>
      </c>
      <c r="C108" s="6">
        <v>0</v>
      </c>
    </row>
    <row r="109" spans="1:3" x14ac:dyDescent="0.25">
      <c r="A109" s="4" t="s">
        <v>141</v>
      </c>
      <c r="B109" s="6">
        <v>15</v>
      </c>
      <c r="C109" s="6">
        <v>0</v>
      </c>
    </row>
    <row r="110" spans="1:3" x14ac:dyDescent="0.25">
      <c r="A110" s="4" t="s">
        <v>142</v>
      </c>
      <c r="B110" s="6">
        <v>1896</v>
      </c>
      <c r="C110" s="6">
        <v>713</v>
      </c>
    </row>
    <row r="111" spans="1:3" x14ac:dyDescent="0.25">
      <c r="A111" s="4" t="s">
        <v>143</v>
      </c>
      <c r="B111" s="6">
        <v>5341</v>
      </c>
      <c r="C111" s="6">
        <v>1448</v>
      </c>
    </row>
    <row r="112" spans="1:3" x14ac:dyDescent="0.25">
      <c r="A112" s="4" t="s">
        <v>144</v>
      </c>
      <c r="B112" s="6">
        <v>0</v>
      </c>
      <c r="C112" s="6">
        <v>0</v>
      </c>
    </row>
    <row r="113" spans="1:3" x14ac:dyDescent="0.25">
      <c r="A113" s="4" t="s">
        <v>145</v>
      </c>
      <c r="B113" s="6">
        <v>0</v>
      </c>
      <c r="C113" s="6">
        <v>0</v>
      </c>
    </row>
    <row r="114" spans="1:3" x14ac:dyDescent="0.25">
      <c r="A114" s="4" t="s">
        <v>146</v>
      </c>
      <c r="B114" s="6">
        <v>1</v>
      </c>
      <c r="C114" s="6">
        <v>1</v>
      </c>
    </row>
    <row r="115" spans="1:3" x14ac:dyDescent="0.25">
      <c r="A115" s="4" t="s">
        <v>147</v>
      </c>
      <c r="B115" s="6">
        <v>41</v>
      </c>
      <c r="C115" s="6">
        <v>28</v>
      </c>
    </row>
    <row r="116" spans="1:3" x14ac:dyDescent="0.25">
      <c r="A116" s="4" t="s">
        <v>148</v>
      </c>
      <c r="B116" s="6">
        <v>154</v>
      </c>
      <c r="C116" s="6">
        <v>153</v>
      </c>
    </row>
    <row r="117" spans="1:3" x14ac:dyDescent="0.25">
      <c r="A117" s="4" t="s">
        <v>149</v>
      </c>
      <c r="B117" s="6">
        <v>70</v>
      </c>
      <c r="C117" s="6">
        <v>0</v>
      </c>
    </row>
    <row r="118" spans="1:3" x14ac:dyDescent="0.25">
      <c r="A118" s="4" t="s">
        <v>150</v>
      </c>
      <c r="B118" s="6">
        <v>2340</v>
      </c>
      <c r="C118" s="6">
        <v>841</v>
      </c>
    </row>
    <row r="119" spans="1:3" x14ac:dyDescent="0.25">
      <c r="A119" s="4" t="s">
        <v>151</v>
      </c>
      <c r="B119" s="6">
        <v>0</v>
      </c>
      <c r="C119" s="6">
        <v>0</v>
      </c>
    </row>
    <row r="120" spans="1:3" x14ac:dyDescent="0.25">
      <c r="A120" s="4" t="s">
        <v>152</v>
      </c>
      <c r="B120" s="6">
        <v>2998</v>
      </c>
      <c r="C120" s="6">
        <v>876</v>
      </c>
    </row>
    <row r="121" spans="1:3" x14ac:dyDescent="0.25">
      <c r="A121" s="4" t="s">
        <v>153</v>
      </c>
      <c r="B121" s="6">
        <v>27</v>
      </c>
      <c r="C121" s="6">
        <v>26</v>
      </c>
    </row>
    <row r="122" spans="1:3" x14ac:dyDescent="0.25">
      <c r="A122" s="4" t="s">
        <v>154</v>
      </c>
      <c r="B122" s="6">
        <v>0</v>
      </c>
      <c r="C122" s="6">
        <v>0</v>
      </c>
    </row>
    <row r="123" spans="1:3" x14ac:dyDescent="0.25">
      <c r="A123" s="4" t="s">
        <v>155</v>
      </c>
      <c r="B123" s="6">
        <v>295</v>
      </c>
      <c r="C123" s="6">
        <v>227</v>
      </c>
    </row>
    <row r="124" spans="1:3" x14ac:dyDescent="0.25">
      <c r="A124" s="4" t="s">
        <v>156</v>
      </c>
      <c r="B124" s="6">
        <v>1047</v>
      </c>
      <c r="C124" s="6">
        <v>9</v>
      </c>
    </row>
    <row r="125" spans="1:3" x14ac:dyDescent="0.25">
      <c r="A125" s="4" t="s">
        <v>157</v>
      </c>
      <c r="B125" s="6">
        <v>1319</v>
      </c>
      <c r="C125" s="6">
        <v>770</v>
      </c>
    </row>
    <row r="126" spans="1:3" x14ac:dyDescent="0.25">
      <c r="A126" s="4" t="s">
        <v>158</v>
      </c>
      <c r="B126" s="6">
        <v>612</v>
      </c>
      <c r="C126" s="6">
        <v>249</v>
      </c>
    </row>
    <row r="127" spans="1:3" x14ac:dyDescent="0.25">
      <c r="A127" s="4" t="s">
        <v>159</v>
      </c>
      <c r="B127" s="6">
        <v>0</v>
      </c>
      <c r="C127" s="6">
        <v>0</v>
      </c>
    </row>
    <row r="128" spans="1:3" x14ac:dyDescent="0.25">
      <c r="A128" s="4" t="s">
        <v>160</v>
      </c>
      <c r="B128" s="6">
        <v>21</v>
      </c>
      <c r="C128" s="6">
        <v>21</v>
      </c>
    </row>
    <row r="129" spans="1:3" x14ac:dyDescent="0.25">
      <c r="A129" s="4" t="s">
        <v>161</v>
      </c>
      <c r="B129" s="6">
        <v>329</v>
      </c>
      <c r="C129" s="6">
        <v>174</v>
      </c>
    </row>
    <row r="130" spans="1:3" x14ac:dyDescent="0.25">
      <c r="A130" s="4" t="s">
        <v>162</v>
      </c>
      <c r="B130" s="6">
        <v>0</v>
      </c>
      <c r="C130" s="6">
        <v>0</v>
      </c>
    </row>
    <row r="131" spans="1:3" x14ac:dyDescent="0.25">
      <c r="A131" s="4" t="s">
        <v>163</v>
      </c>
      <c r="B131" s="6">
        <v>0</v>
      </c>
      <c r="C131" s="6">
        <v>0</v>
      </c>
    </row>
    <row r="132" spans="1:3" x14ac:dyDescent="0.25">
      <c r="A132" s="4" t="s">
        <v>164</v>
      </c>
      <c r="B132" s="6">
        <v>454</v>
      </c>
      <c r="C132" s="6">
        <v>437</v>
      </c>
    </row>
    <row r="133" spans="1:3" x14ac:dyDescent="0.25">
      <c r="A133" s="4" t="s">
        <v>165</v>
      </c>
      <c r="B133" s="6">
        <v>0</v>
      </c>
      <c r="C133" s="6">
        <v>0</v>
      </c>
    </row>
    <row r="134" spans="1:3" x14ac:dyDescent="0.25">
      <c r="A134" s="4" t="s">
        <v>166</v>
      </c>
      <c r="B134" s="6">
        <v>0</v>
      </c>
      <c r="C134" s="6">
        <v>0</v>
      </c>
    </row>
    <row r="135" spans="1:3" x14ac:dyDescent="0.25">
      <c r="A135" s="4" t="s">
        <v>167</v>
      </c>
      <c r="B135" s="6">
        <v>0</v>
      </c>
      <c r="C135" s="6">
        <v>0</v>
      </c>
    </row>
    <row r="136" spans="1:3" x14ac:dyDescent="0.25">
      <c r="A136" s="4" t="s">
        <v>168</v>
      </c>
      <c r="B136" s="6">
        <v>0</v>
      </c>
      <c r="C136" s="6">
        <v>0</v>
      </c>
    </row>
    <row r="137" spans="1:3" x14ac:dyDescent="0.25">
      <c r="A137" s="4" t="s">
        <v>169</v>
      </c>
      <c r="B137" s="6">
        <v>83</v>
      </c>
      <c r="C137" s="6">
        <v>1</v>
      </c>
    </row>
    <row r="138" spans="1:3" x14ac:dyDescent="0.25">
      <c r="A138" s="4" t="s">
        <v>170</v>
      </c>
      <c r="B138" s="6">
        <v>24186</v>
      </c>
      <c r="C138" s="6">
        <v>4192</v>
      </c>
    </row>
    <row r="139" spans="1:3" x14ac:dyDescent="0.25">
      <c r="A139" s="4" t="s">
        <v>171</v>
      </c>
      <c r="B139" s="6">
        <v>2</v>
      </c>
      <c r="C139" s="6">
        <v>1</v>
      </c>
    </row>
    <row r="140" spans="1:3" x14ac:dyDescent="0.25">
      <c r="A140" s="4" t="s">
        <v>172</v>
      </c>
      <c r="B140" s="6">
        <v>693</v>
      </c>
      <c r="C140" s="6">
        <v>689</v>
      </c>
    </row>
    <row r="141" spans="1:3" x14ac:dyDescent="0.25">
      <c r="A141" s="4" t="s">
        <v>173</v>
      </c>
      <c r="B141" s="6">
        <v>6425</v>
      </c>
      <c r="C141" s="6">
        <v>1789</v>
      </c>
    </row>
    <row r="142" spans="1:3" x14ac:dyDescent="0.25">
      <c r="A142" s="4" t="s">
        <v>174</v>
      </c>
      <c r="B142" s="6">
        <v>36669</v>
      </c>
      <c r="C142" s="6">
        <v>10184</v>
      </c>
    </row>
    <row r="143" spans="1:3" x14ac:dyDescent="0.25">
      <c r="A143" s="4" t="s">
        <v>175</v>
      </c>
      <c r="B143" s="6">
        <v>757</v>
      </c>
      <c r="C143" s="6">
        <v>352</v>
      </c>
    </row>
    <row r="144" spans="1:3" x14ac:dyDescent="0.25">
      <c r="A144" s="4" t="s">
        <v>176</v>
      </c>
      <c r="B144" s="6">
        <v>5</v>
      </c>
      <c r="C144" s="6">
        <v>1</v>
      </c>
    </row>
    <row r="145" spans="1:3" x14ac:dyDescent="0.25">
      <c r="A145" s="4" t="s">
        <v>177</v>
      </c>
      <c r="B145" s="6">
        <v>0</v>
      </c>
      <c r="C145" s="6">
        <v>0</v>
      </c>
    </row>
    <row r="146" spans="1:3" x14ac:dyDescent="0.25">
      <c r="A146" s="4" t="s">
        <v>178</v>
      </c>
      <c r="B146" s="6">
        <v>216</v>
      </c>
      <c r="C146" s="6">
        <v>216</v>
      </c>
    </row>
    <row r="147" spans="1:3" x14ac:dyDescent="0.25">
      <c r="A147" s="4" t="s">
        <v>179</v>
      </c>
      <c r="B147" s="6">
        <v>0</v>
      </c>
      <c r="C147" s="6">
        <v>0</v>
      </c>
    </row>
    <row r="148" spans="1:3" x14ac:dyDescent="0.25">
      <c r="A148" s="4" t="s">
        <v>180</v>
      </c>
      <c r="B148" s="6">
        <v>3</v>
      </c>
      <c r="C148" s="6">
        <v>3</v>
      </c>
    </row>
    <row r="149" spans="1:3" x14ac:dyDescent="0.25">
      <c r="A149" s="4" t="s">
        <v>181</v>
      </c>
      <c r="B149" s="6">
        <v>0</v>
      </c>
      <c r="C149" s="6">
        <v>0</v>
      </c>
    </row>
    <row r="150" spans="1:3" x14ac:dyDescent="0.25">
      <c r="A150" s="4" t="s">
        <v>182</v>
      </c>
      <c r="B150" s="6">
        <v>0</v>
      </c>
      <c r="C150" s="6">
        <v>0</v>
      </c>
    </row>
    <row r="151" spans="1:3" x14ac:dyDescent="0.25">
      <c r="A151" s="4" t="s">
        <v>183</v>
      </c>
      <c r="B151" s="6">
        <v>25045</v>
      </c>
      <c r="C151" s="6">
        <v>7492</v>
      </c>
    </row>
    <row r="152" spans="1:3" x14ac:dyDescent="0.25">
      <c r="A152" s="4" t="s">
        <v>184</v>
      </c>
      <c r="B152" s="6">
        <v>14574</v>
      </c>
      <c r="C152" s="6">
        <v>3553</v>
      </c>
    </row>
    <row r="153" spans="1:3" x14ac:dyDescent="0.25">
      <c r="A153" s="4" t="s">
        <v>185</v>
      </c>
      <c r="B153" s="6">
        <v>45</v>
      </c>
      <c r="C153" s="6">
        <v>45</v>
      </c>
    </row>
    <row r="154" spans="1:3" x14ac:dyDescent="0.25">
      <c r="A154" s="4" t="s">
        <v>186</v>
      </c>
      <c r="B154" s="6">
        <v>0</v>
      </c>
      <c r="C154" s="6">
        <v>0</v>
      </c>
    </row>
    <row r="155" spans="1:3" x14ac:dyDescent="0.25">
      <c r="A155" s="4" t="s">
        <v>187</v>
      </c>
      <c r="B155" s="6">
        <v>1</v>
      </c>
      <c r="C155" s="6">
        <v>0</v>
      </c>
    </row>
    <row r="156" spans="1:3" x14ac:dyDescent="0.25">
      <c r="A156" s="4" t="s">
        <v>188</v>
      </c>
      <c r="B156" s="6">
        <v>10736</v>
      </c>
      <c r="C156" s="6">
        <v>1573</v>
      </c>
    </row>
    <row r="157" spans="1:3" x14ac:dyDescent="0.25">
      <c r="A157" s="4" t="s">
        <v>189</v>
      </c>
      <c r="B157" s="6">
        <v>191</v>
      </c>
      <c r="C157" s="6">
        <v>155</v>
      </c>
    </row>
    <row r="158" spans="1:3" x14ac:dyDescent="0.25">
      <c r="A158" s="4" t="s">
        <v>190</v>
      </c>
      <c r="B158" s="6">
        <v>16726</v>
      </c>
      <c r="C158" s="6">
        <v>4588</v>
      </c>
    </row>
    <row r="159" spans="1:3" x14ac:dyDescent="0.25">
      <c r="A159" s="4" t="s">
        <v>191</v>
      </c>
      <c r="B159" s="6">
        <v>0</v>
      </c>
      <c r="C159" s="6">
        <v>0</v>
      </c>
    </row>
    <row r="160" spans="1:3" x14ac:dyDescent="0.25">
      <c r="A160" s="4" t="s">
        <v>192</v>
      </c>
      <c r="B160" s="6">
        <v>1</v>
      </c>
      <c r="C160" s="6">
        <v>1</v>
      </c>
    </row>
    <row r="161" spans="1:3" x14ac:dyDescent="0.25">
      <c r="A161" s="4" t="s">
        <v>193</v>
      </c>
      <c r="B161" s="6">
        <v>0</v>
      </c>
      <c r="C161" s="6">
        <v>0</v>
      </c>
    </row>
    <row r="162" spans="1:3" x14ac:dyDescent="0.25">
      <c r="A162" s="4" t="s">
        <v>194</v>
      </c>
      <c r="B162" s="6">
        <v>0</v>
      </c>
      <c r="C162" s="6">
        <v>0</v>
      </c>
    </row>
    <row r="163" spans="1:3" x14ac:dyDescent="0.25">
      <c r="A163" s="4" t="s">
        <v>195</v>
      </c>
      <c r="B163" s="6">
        <v>2180</v>
      </c>
      <c r="C163" s="6">
        <v>1817</v>
      </c>
    </row>
    <row r="164" spans="1:3" x14ac:dyDescent="0.25">
      <c r="A164" s="4" t="s">
        <v>196</v>
      </c>
      <c r="B164" s="6">
        <v>17090</v>
      </c>
      <c r="C164" s="6">
        <v>4657</v>
      </c>
    </row>
    <row r="165" spans="1:3" x14ac:dyDescent="0.25">
      <c r="A165" s="4" t="s">
        <v>197</v>
      </c>
      <c r="B165" s="6">
        <v>40509</v>
      </c>
      <c r="C165" s="6">
        <v>7913</v>
      </c>
    </row>
    <row r="166" spans="1:3" x14ac:dyDescent="0.25">
      <c r="A166" s="4" t="s">
        <v>198</v>
      </c>
      <c r="B166" s="6">
        <v>272</v>
      </c>
      <c r="C166" s="6">
        <v>270</v>
      </c>
    </row>
    <row r="167" spans="1:3" x14ac:dyDescent="0.25">
      <c r="A167" s="4" t="s">
        <v>199</v>
      </c>
      <c r="B167" s="6">
        <v>3721</v>
      </c>
      <c r="C167" s="6">
        <v>1032</v>
      </c>
    </row>
    <row r="168" spans="1:3" x14ac:dyDescent="0.25">
      <c r="A168" s="4" t="s">
        <v>200</v>
      </c>
      <c r="B168" s="6">
        <v>69</v>
      </c>
      <c r="C168" s="6">
        <v>69</v>
      </c>
    </row>
    <row r="169" spans="1:3" x14ac:dyDescent="0.25">
      <c r="A169" s="4" t="s">
        <v>201</v>
      </c>
      <c r="B169" s="6">
        <v>6</v>
      </c>
      <c r="C169" s="6">
        <v>5</v>
      </c>
    </row>
    <row r="170" spans="1:3" x14ac:dyDescent="0.25">
      <c r="A170" s="4" t="s">
        <v>202</v>
      </c>
      <c r="B170" s="6">
        <v>0</v>
      </c>
      <c r="C170" s="6">
        <v>0</v>
      </c>
    </row>
    <row r="171" spans="1:3" x14ac:dyDescent="0.25">
      <c r="A171" s="4" t="s">
        <v>203</v>
      </c>
      <c r="B171" s="6">
        <v>1526</v>
      </c>
      <c r="C171" s="6">
        <v>1086</v>
      </c>
    </row>
    <row r="172" spans="1:3" x14ac:dyDescent="0.25">
      <c r="A172" s="4" t="s">
        <v>204</v>
      </c>
      <c r="B172" s="6">
        <v>792</v>
      </c>
      <c r="C172" s="6">
        <v>7</v>
      </c>
    </row>
    <row r="173" spans="1:3" x14ac:dyDescent="0.25">
      <c r="A173" s="4" t="s">
        <v>205</v>
      </c>
      <c r="B173" s="6">
        <v>2342</v>
      </c>
      <c r="C173" s="6">
        <v>1071</v>
      </c>
    </row>
    <row r="174" spans="1:3" x14ac:dyDescent="0.25">
      <c r="A174" s="4" t="s">
        <v>206</v>
      </c>
      <c r="B174" s="6">
        <v>0</v>
      </c>
      <c r="C174" s="6">
        <v>0</v>
      </c>
    </row>
    <row r="175" spans="1:3" x14ac:dyDescent="0.25">
      <c r="A175" s="4" t="s">
        <v>207</v>
      </c>
      <c r="B175" s="6">
        <v>30788</v>
      </c>
      <c r="C175" s="6">
        <v>2731</v>
      </c>
    </row>
    <row r="176" spans="1:3" x14ac:dyDescent="0.25">
      <c r="A176" s="4" t="s">
        <v>208</v>
      </c>
      <c r="B176" s="6">
        <v>39920</v>
      </c>
      <c r="C176" s="6">
        <v>9074</v>
      </c>
    </row>
    <row r="177" spans="1:3" x14ac:dyDescent="0.25">
      <c r="A177" s="4" t="s">
        <v>209</v>
      </c>
      <c r="B177" s="6">
        <v>18143</v>
      </c>
      <c r="C177" s="6">
        <v>1835</v>
      </c>
    </row>
    <row r="178" spans="1:3" x14ac:dyDescent="0.25">
      <c r="A178" s="4" t="s">
        <v>210</v>
      </c>
      <c r="B178" s="6">
        <v>191</v>
      </c>
      <c r="C178" s="6">
        <v>191</v>
      </c>
    </row>
    <row r="179" spans="1:3" x14ac:dyDescent="0.25">
      <c r="A179" s="4" t="s">
        <v>211</v>
      </c>
      <c r="B179" s="6">
        <v>0</v>
      </c>
      <c r="C179" s="6">
        <v>0</v>
      </c>
    </row>
    <row r="180" spans="1:3" x14ac:dyDescent="0.25">
      <c r="A180" s="4" t="s">
        <v>212</v>
      </c>
      <c r="B180" s="6">
        <v>9</v>
      </c>
      <c r="C180" s="6">
        <v>8</v>
      </c>
    </row>
    <row r="181" spans="1:3" x14ac:dyDescent="0.25">
      <c r="A181" s="4" t="s">
        <v>213</v>
      </c>
      <c r="B181" s="6">
        <v>2</v>
      </c>
      <c r="C181" s="6">
        <v>0</v>
      </c>
    </row>
    <row r="182" spans="1:3" x14ac:dyDescent="0.25">
      <c r="A182" s="4" t="s">
        <v>214</v>
      </c>
      <c r="B182" s="6">
        <v>0</v>
      </c>
      <c r="C182" s="6">
        <v>0</v>
      </c>
    </row>
    <row r="183" spans="1:3" x14ac:dyDescent="0.25">
      <c r="A183" s="4" t="s">
        <v>215</v>
      </c>
      <c r="B183" s="6">
        <v>1</v>
      </c>
      <c r="C183" s="6">
        <v>0</v>
      </c>
    </row>
    <row r="184" spans="1:3" x14ac:dyDescent="0.25">
      <c r="A184" s="4" t="s">
        <v>216</v>
      </c>
      <c r="B184" s="6">
        <v>1381</v>
      </c>
      <c r="C184" s="6">
        <v>855</v>
      </c>
    </row>
    <row r="185" spans="1:3" x14ac:dyDescent="0.25">
      <c r="A185" s="4" t="s">
        <v>217</v>
      </c>
      <c r="B185" s="6">
        <v>0</v>
      </c>
      <c r="C185" s="6">
        <v>0</v>
      </c>
    </row>
    <row r="186" spans="1:3" x14ac:dyDescent="0.25">
      <c r="A186" s="4" t="s">
        <v>218</v>
      </c>
      <c r="B186" s="6">
        <v>0</v>
      </c>
      <c r="C186" s="6">
        <v>0</v>
      </c>
    </row>
    <row r="187" spans="1:3" x14ac:dyDescent="0.25">
      <c r="A187" s="4" t="s">
        <v>219</v>
      </c>
      <c r="B187" s="6">
        <v>0</v>
      </c>
      <c r="C187" s="6">
        <v>0</v>
      </c>
    </row>
    <row r="188" spans="1:3" x14ac:dyDescent="0.25">
      <c r="A188" s="4" t="s">
        <v>220</v>
      </c>
      <c r="B188" s="6">
        <v>53</v>
      </c>
      <c r="C188" s="6">
        <v>53</v>
      </c>
    </row>
    <row r="189" spans="1:3" x14ac:dyDescent="0.25">
      <c r="A189" s="4" t="s">
        <v>221</v>
      </c>
      <c r="B189" s="6">
        <v>365</v>
      </c>
      <c r="C189" s="6">
        <v>364</v>
      </c>
    </row>
    <row r="190" spans="1:3" x14ac:dyDescent="0.25">
      <c r="A190" s="4" t="s">
        <v>222</v>
      </c>
      <c r="B190" s="6">
        <v>82</v>
      </c>
      <c r="C190" s="6">
        <v>81</v>
      </c>
    </row>
    <row r="191" spans="1:3" x14ac:dyDescent="0.25">
      <c r="A191" s="4" t="s">
        <v>223</v>
      </c>
      <c r="B191" s="6">
        <v>1999</v>
      </c>
      <c r="C191" s="6">
        <v>1150</v>
      </c>
    </row>
    <row r="192" spans="1:3" x14ac:dyDescent="0.25">
      <c r="A192" s="4" t="s">
        <v>224</v>
      </c>
      <c r="B192" s="6">
        <v>0</v>
      </c>
      <c r="C192" s="6">
        <v>0</v>
      </c>
    </row>
    <row r="193" spans="1:3" x14ac:dyDescent="0.25">
      <c r="A193" s="4" t="s">
        <v>225</v>
      </c>
      <c r="B193" s="6">
        <v>1</v>
      </c>
      <c r="C193" s="6">
        <v>0</v>
      </c>
    </row>
    <row r="194" spans="1:3" x14ac:dyDescent="0.25">
      <c r="A194" s="4" t="s">
        <v>226</v>
      </c>
      <c r="B194" s="6">
        <v>0</v>
      </c>
      <c r="C194" s="6">
        <v>0</v>
      </c>
    </row>
    <row r="195" spans="1:3" x14ac:dyDescent="0.25">
      <c r="A195" s="4" t="s">
        <v>227</v>
      </c>
      <c r="B195" s="6">
        <v>56</v>
      </c>
      <c r="C195" s="6">
        <v>48</v>
      </c>
    </row>
    <row r="196" spans="1:3" x14ac:dyDescent="0.25">
      <c r="A196" s="4" t="s">
        <v>228</v>
      </c>
      <c r="B196" s="6">
        <v>0</v>
      </c>
      <c r="C196" s="6">
        <v>0</v>
      </c>
    </row>
    <row r="197" spans="1:3" x14ac:dyDescent="0.25">
      <c r="A197" s="4" t="s">
        <v>229</v>
      </c>
      <c r="B197" s="6">
        <v>8451</v>
      </c>
      <c r="C197" s="6">
        <v>2479</v>
      </c>
    </row>
    <row r="198" spans="1:3" x14ac:dyDescent="0.25">
      <c r="A198" s="4" t="s">
        <v>230</v>
      </c>
      <c r="B198" s="6">
        <v>46434</v>
      </c>
      <c r="C198" s="6">
        <v>6523</v>
      </c>
    </row>
    <row r="199" spans="1:3" x14ac:dyDescent="0.25">
      <c r="A199" s="4" t="s">
        <v>231</v>
      </c>
      <c r="B199" s="6">
        <v>2259</v>
      </c>
      <c r="C199" s="6">
        <v>913</v>
      </c>
    </row>
    <row r="200" spans="1:3" x14ac:dyDescent="0.25">
      <c r="A200" s="4" t="s">
        <v>232</v>
      </c>
      <c r="B200" s="6">
        <v>90</v>
      </c>
      <c r="C200" s="6">
        <v>72</v>
      </c>
    </row>
    <row r="201" spans="1:3" x14ac:dyDescent="0.25">
      <c r="A201" s="4" t="s">
        <v>233</v>
      </c>
      <c r="B201" s="6">
        <v>0</v>
      </c>
      <c r="C201" s="6">
        <v>0</v>
      </c>
    </row>
    <row r="202" spans="1:3" x14ac:dyDescent="0.25">
      <c r="A202" s="4" t="s">
        <v>234</v>
      </c>
      <c r="B202" s="6">
        <v>0</v>
      </c>
      <c r="C202" s="6">
        <v>0</v>
      </c>
    </row>
    <row r="203" spans="1:3" x14ac:dyDescent="0.25">
      <c r="A203" s="4" t="s">
        <v>235</v>
      </c>
      <c r="B203" s="6">
        <v>4</v>
      </c>
      <c r="C203" s="6">
        <v>4</v>
      </c>
    </row>
    <row r="204" spans="1:3" x14ac:dyDescent="0.25">
      <c r="A204" s="4" t="s">
        <v>236</v>
      </c>
      <c r="B204" s="6">
        <v>3683</v>
      </c>
      <c r="C204" s="6">
        <v>1105</v>
      </c>
    </row>
    <row r="205" spans="1:3" x14ac:dyDescent="0.25">
      <c r="A205" s="4" t="s">
        <v>237</v>
      </c>
      <c r="B205" s="6">
        <v>7762</v>
      </c>
      <c r="C205" s="6">
        <v>1680</v>
      </c>
    </row>
    <row r="206" spans="1:3" x14ac:dyDescent="0.25">
      <c r="A206" s="4" t="s">
        <v>238</v>
      </c>
      <c r="B206" s="6">
        <v>0</v>
      </c>
      <c r="C206" s="6">
        <v>0</v>
      </c>
    </row>
    <row r="207" spans="1:3" x14ac:dyDescent="0.25">
      <c r="A207" s="4" t="s">
        <v>239</v>
      </c>
      <c r="B207" s="6">
        <v>284</v>
      </c>
      <c r="C207" s="6">
        <v>276</v>
      </c>
    </row>
    <row r="208" spans="1:3" x14ac:dyDescent="0.25">
      <c r="A208" s="4" t="s">
        <v>240</v>
      </c>
      <c r="B208" s="6">
        <v>0</v>
      </c>
      <c r="C208" s="6">
        <v>0</v>
      </c>
    </row>
    <row r="209" spans="1:3" x14ac:dyDescent="0.25">
      <c r="A209" s="4" t="s">
        <v>241</v>
      </c>
      <c r="B209" s="6">
        <v>74</v>
      </c>
      <c r="C209" s="6">
        <v>73</v>
      </c>
    </row>
    <row r="210" spans="1:3" x14ac:dyDescent="0.25">
      <c r="A210" s="4" t="s">
        <v>242</v>
      </c>
      <c r="B210" s="6">
        <v>8655</v>
      </c>
      <c r="C210" s="6">
        <v>2694</v>
      </c>
    </row>
    <row r="211" spans="1:3" x14ac:dyDescent="0.25">
      <c r="A211" s="4" t="s">
        <v>243</v>
      </c>
      <c r="B211" s="6">
        <v>64</v>
      </c>
      <c r="C211" s="6">
        <v>63</v>
      </c>
    </row>
    <row r="212" spans="1:3" x14ac:dyDescent="0.25">
      <c r="A212" s="4" t="s">
        <v>244</v>
      </c>
      <c r="B212" s="6">
        <v>0</v>
      </c>
      <c r="C212" s="6">
        <v>0</v>
      </c>
    </row>
    <row r="213" spans="1:3" x14ac:dyDescent="0.25">
      <c r="A213" s="4" t="s">
        <v>245</v>
      </c>
      <c r="B213" s="6">
        <v>3154</v>
      </c>
      <c r="C213" s="6">
        <v>2058</v>
      </c>
    </row>
    <row r="214" spans="1:3" x14ac:dyDescent="0.25">
      <c r="A214" s="4" t="s">
        <v>246</v>
      </c>
      <c r="B214" s="6">
        <v>1831</v>
      </c>
      <c r="C214" s="6">
        <v>1486</v>
      </c>
    </row>
    <row r="215" spans="1:3" x14ac:dyDescent="0.25">
      <c r="A215" s="4" t="s">
        <v>247</v>
      </c>
      <c r="B215" s="6">
        <v>11303</v>
      </c>
      <c r="C215" s="6">
        <v>5451</v>
      </c>
    </row>
    <row r="216" spans="1:3" x14ac:dyDescent="0.25">
      <c r="A216" s="4" t="s">
        <v>248</v>
      </c>
      <c r="B216" s="6">
        <v>584</v>
      </c>
      <c r="C216" s="6">
        <v>573</v>
      </c>
    </row>
    <row r="217" spans="1:3" x14ac:dyDescent="0.25">
      <c r="A217" s="4" t="s">
        <v>249</v>
      </c>
      <c r="B217" s="6">
        <v>5324</v>
      </c>
      <c r="C217" s="6">
        <v>2490</v>
      </c>
    </row>
    <row r="218" spans="1:3" x14ac:dyDescent="0.25">
      <c r="A218" s="4" t="s">
        <v>250</v>
      </c>
      <c r="B218" s="6">
        <v>3247</v>
      </c>
      <c r="C218" s="6">
        <v>2045</v>
      </c>
    </row>
    <row r="219" spans="1:3" x14ac:dyDescent="0.25">
      <c r="A219" s="4" t="s">
        <v>251</v>
      </c>
      <c r="B219" s="6">
        <v>71731</v>
      </c>
      <c r="C219" s="6">
        <v>13958</v>
      </c>
    </row>
    <row r="220" spans="1:3" x14ac:dyDescent="0.25">
      <c r="A220" s="4" t="s">
        <v>252</v>
      </c>
      <c r="B220" s="6">
        <v>412</v>
      </c>
      <c r="C220" s="6">
        <v>412</v>
      </c>
    </row>
    <row r="221" spans="1:3" x14ac:dyDescent="0.25">
      <c r="A221" s="4" t="s">
        <v>253</v>
      </c>
      <c r="B221" s="6">
        <v>1078</v>
      </c>
      <c r="C221" s="6">
        <v>669</v>
      </c>
    </row>
    <row r="222" spans="1:3" x14ac:dyDescent="0.25">
      <c r="A222" s="4" t="s">
        <v>254</v>
      </c>
      <c r="B222" s="6">
        <v>0</v>
      </c>
      <c r="C222" s="6">
        <v>0</v>
      </c>
    </row>
    <row r="223" spans="1:3" x14ac:dyDescent="0.25">
      <c r="A223" s="4" t="s">
        <v>255</v>
      </c>
      <c r="B223" s="6">
        <v>945</v>
      </c>
      <c r="C223" s="6">
        <v>115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workbookViewId="0">
      <selection activeCell="B9" sqref="B9"/>
    </sheetView>
  </sheetViews>
  <sheetFormatPr defaultColWidth="11" defaultRowHeight="15" x14ac:dyDescent="0.25"/>
  <cols>
    <col min="1" max="1" width="12.5703125" style="28" customWidth="1"/>
    <col min="2" max="2" width="16.5703125" style="28" customWidth="1"/>
    <col min="3" max="6" width="15.42578125" style="28" customWidth="1"/>
    <col min="7" max="16384" width="11" style="28"/>
  </cols>
  <sheetData>
    <row r="1" spans="1:6" ht="90" x14ac:dyDescent="0.25">
      <c r="A1" s="26" t="s">
        <v>266</v>
      </c>
      <c r="B1" s="27"/>
      <c r="C1" s="27"/>
      <c r="D1" s="27"/>
      <c r="E1" s="27"/>
      <c r="F1" s="27"/>
    </row>
    <row r="2" spans="1:6" ht="30" x14ac:dyDescent="0.25">
      <c r="A2" s="30" t="s">
        <v>267</v>
      </c>
      <c r="B2" s="27"/>
      <c r="C2" s="27"/>
      <c r="D2" s="27"/>
      <c r="E2" s="27"/>
      <c r="F2" s="27"/>
    </row>
    <row r="3" spans="1:6" ht="60" x14ac:dyDescent="0.25">
      <c r="A3" s="31" t="s">
        <v>2</v>
      </c>
      <c r="B3" s="27"/>
      <c r="C3" s="27"/>
      <c r="D3" s="27"/>
      <c r="E3" s="27"/>
      <c r="F3" s="27"/>
    </row>
    <row r="4" spans="1:6" x14ac:dyDescent="0.25">
      <c r="A4" s="31" t="s">
        <v>3</v>
      </c>
      <c r="B4" s="27"/>
      <c r="C4" s="27"/>
      <c r="D4" s="27"/>
      <c r="E4" s="27"/>
      <c r="F4" s="27"/>
    </row>
    <row r="5" spans="1:6" ht="30.75" thickBot="1" x14ac:dyDescent="0.3">
      <c r="A5" s="31" t="s">
        <v>268</v>
      </c>
      <c r="B5" s="27"/>
      <c r="C5" s="27"/>
      <c r="D5" s="27"/>
      <c r="E5" s="27"/>
      <c r="F5" s="27"/>
    </row>
    <row r="6" spans="1:6" ht="30" x14ac:dyDescent="0.25">
      <c r="A6" s="32"/>
      <c r="B6" s="33" t="s">
        <v>5</v>
      </c>
      <c r="C6" s="33"/>
      <c r="D6" s="33"/>
      <c r="E6" s="33"/>
      <c r="F6" s="51"/>
    </row>
    <row r="7" spans="1:6" ht="30" x14ac:dyDescent="0.25">
      <c r="A7" s="34"/>
      <c r="B7" s="35" t="s">
        <v>6</v>
      </c>
      <c r="C7" s="35" t="s">
        <v>7</v>
      </c>
      <c r="D7" s="35" t="s">
        <v>13</v>
      </c>
      <c r="E7" s="35" t="s">
        <v>21</v>
      </c>
      <c r="F7" s="35" t="s">
        <v>33</v>
      </c>
    </row>
    <row r="8" spans="1:6" ht="30" x14ac:dyDescent="0.25">
      <c r="A8" s="34"/>
      <c r="B8" s="35" t="s">
        <v>267</v>
      </c>
      <c r="C8" s="35" t="s">
        <v>267</v>
      </c>
      <c r="D8" s="35" t="s">
        <v>267</v>
      </c>
      <c r="E8" s="35" t="s">
        <v>267</v>
      </c>
      <c r="F8" s="35" t="s">
        <v>267</v>
      </c>
    </row>
    <row r="9" spans="1:6" ht="15.75" thickBot="1" x14ac:dyDescent="0.3">
      <c r="A9" s="36"/>
      <c r="B9" s="37" t="s">
        <v>33</v>
      </c>
      <c r="C9" s="37" t="s">
        <v>33</v>
      </c>
      <c r="D9" s="37" t="s">
        <v>33</v>
      </c>
      <c r="E9" s="37" t="s">
        <v>33</v>
      </c>
      <c r="F9" s="52" t="s">
        <v>33</v>
      </c>
    </row>
    <row r="10" spans="1:6" x14ac:dyDescent="0.25">
      <c r="A10" s="48" t="s">
        <v>285</v>
      </c>
    </row>
    <row r="11" spans="1:6" x14ac:dyDescent="0.25">
      <c r="A11" s="48" t="s">
        <v>286</v>
      </c>
      <c r="B11" s="39">
        <v>254651</v>
      </c>
      <c r="C11" s="39">
        <v>542170</v>
      </c>
      <c r="D11" s="39">
        <v>1871869</v>
      </c>
      <c r="E11" s="39">
        <v>9906</v>
      </c>
      <c r="F11" s="39">
        <v>6317075</v>
      </c>
    </row>
    <row r="12" spans="1:6" x14ac:dyDescent="0.25">
      <c r="A12" s="48" t="s">
        <v>287</v>
      </c>
      <c r="B12" s="39">
        <v>229891</v>
      </c>
      <c r="C12" s="39">
        <v>557123</v>
      </c>
      <c r="D12" s="39">
        <v>1798533</v>
      </c>
      <c r="E12" s="39">
        <v>10124</v>
      </c>
      <c r="F12" s="39">
        <v>6303610</v>
      </c>
    </row>
    <row r="13" spans="1:6" x14ac:dyDescent="0.25">
      <c r="A13" s="48" t="s">
        <v>288</v>
      </c>
      <c r="B13" s="39">
        <v>282256</v>
      </c>
      <c r="C13" s="39">
        <v>647200</v>
      </c>
      <c r="D13" s="39">
        <v>2137963</v>
      </c>
      <c r="E13" s="39">
        <v>13226</v>
      </c>
      <c r="F13" s="39">
        <v>7635646</v>
      </c>
    </row>
    <row r="14" spans="1:6" x14ac:dyDescent="0.25">
      <c r="A14" s="48" t="s">
        <v>289</v>
      </c>
      <c r="B14" s="39">
        <v>297026</v>
      </c>
      <c r="C14" s="39">
        <v>680326</v>
      </c>
      <c r="D14" s="39">
        <v>2311912</v>
      </c>
      <c r="E14" s="39">
        <v>15975</v>
      </c>
      <c r="F14" s="39">
        <v>8152304</v>
      </c>
    </row>
    <row r="15" spans="1:6" x14ac:dyDescent="0.25">
      <c r="A15" s="48" t="s">
        <v>290</v>
      </c>
      <c r="B15" s="39">
        <v>304254</v>
      </c>
      <c r="C15" s="39">
        <v>776165</v>
      </c>
      <c r="D15" s="39">
        <v>2494520</v>
      </c>
      <c r="E15" s="39">
        <v>15886</v>
      </c>
      <c r="F15" s="39">
        <v>9116089</v>
      </c>
    </row>
    <row r="16" spans="1:6" x14ac:dyDescent="0.25">
      <c r="A16" s="48" t="s">
        <v>291</v>
      </c>
      <c r="B16" s="39">
        <v>315585</v>
      </c>
      <c r="C16" s="39">
        <v>758815</v>
      </c>
      <c r="D16" s="39">
        <v>2558168</v>
      </c>
      <c r="E16" s="39">
        <v>16421</v>
      </c>
      <c r="F16" s="39">
        <v>9163992</v>
      </c>
    </row>
    <row r="17" spans="1:6" x14ac:dyDescent="0.25">
      <c r="A17" s="48" t="s">
        <v>292</v>
      </c>
      <c r="B17" s="39">
        <v>352273</v>
      </c>
      <c r="C17" s="39">
        <v>807375</v>
      </c>
      <c r="D17" s="39">
        <v>2808926</v>
      </c>
      <c r="E17" s="39">
        <v>19571</v>
      </c>
      <c r="F17" s="39">
        <v>10152834</v>
      </c>
    </row>
    <row r="18" spans="1:6" x14ac:dyDescent="0.25">
      <c r="A18" s="48" t="s">
        <v>293</v>
      </c>
      <c r="B18" s="39">
        <v>316308</v>
      </c>
      <c r="C18" s="39">
        <v>721573</v>
      </c>
      <c r="D18" s="39">
        <v>2659153</v>
      </c>
      <c r="E18" s="39">
        <v>17461</v>
      </c>
      <c r="F18" s="39">
        <v>9456974</v>
      </c>
    </row>
    <row r="19" spans="1:6" x14ac:dyDescent="0.25">
      <c r="A19" s="48" t="s">
        <v>294</v>
      </c>
      <c r="B19" s="39">
        <v>335924</v>
      </c>
      <c r="C19" s="39">
        <v>833868</v>
      </c>
      <c r="D19" s="39">
        <v>2602472</v>
      </c>
      <c r="E19" s="39">
        <v>16858</v>
      </c>
      <c r="F19" s="39">
        <v>9615704</v>
      </c>
    </row>
    <row r="20" spans="1:6" x14ac:dyDescent="0.25">
      <c r="A20" s="48" t="s">
        <v>295</v>
      </c>
      <c r="B20" s="39">
        <v>330937</v>
      </c>
      <c r="C20" s="39">
        <v>782236</v>
      </c>
      <c r="D20" s="39">
        <v>2550681</v>
      </c>
      <c r="E20" s="39">
        <v>15561</v>
      </c>
      <c r="F20" s="39">
        <v>9321988</v>
      </c>
    </row>
    <row r="21" spans="1:6" x14ac:dyDescent="0.25">
      <c r="A21" s="48" t="s">
        <v>296</v>
      </c>
      <c r="B21" s="39">
        <v>258135</v>
      </c>
      <c r="C21" s="39">
        <v>690401</v>
      </c>
      <c r="D21" s="39">
        <v>2099936</v>
      </c>
      <c r="E21" s="39">
        <v>6284</v>
      </c>
      <c r="F21" s="39">
        <v>7339991</v>
      </c>
    </row>
    <row r="22" spans="1:6" x14ac:dyDescent="0.25">
      <c r="A22" s="48" t="s">
        <v>297</v>
      </c>
      <c r="B22" s="39">
        <v>260556</v>
      </c>
      <c r="C22" s="39">
        <v>620798</v>
      </c>
      <c r="D22" s="39">
        <v>2140359</v>
      </c>
      <c r="E22" s="39">
        <v>7947</v>
      </c>
      <c r="F22" s="39">
        <v>6999399</v>
      </c>
    </row>
    <row r="23" spans="1:6" x14ac:dyDescent="0.25">
      <c r="A23" s="48" t="s">
        <v>298</v>
      </c>
    </row>
    <row r="24" spans="1:6" x14ac:dyDescent="0.25">
      <c r="A24" s="48" t="s">
        <v>286</v>
      </c>
      <c r="B24" s="39">
        <v>248550</v>
      </c>
      <c r="C24" s="39">
        <v>586831</v>
      </c>
      <c r="D24" s="39">
        <v>1984659</v>
      </c>
      <c r="E24" s="39">
        <v>6701</v>
      </c>
      <c r="F24" s="39">
        <v>6457080</v>
      </c>
    </row>
    <row r="25" spans="1:6" x14ac:dyDescent="0.25">
      <c r="A25" s="48" t="s">
        <v>287</v>
      </c>
      <c r="B25" s="39">
        <v>236519</v>
      </c>
      <c r="C25" s="39">
        <v>591206</v>
      </c>
      <c r="D25" s="39">
        <v>1807880</v>
      </c>
      <c r="E25" s="39">
        <v>6561</v>
      </c>
      <c r="F25" s="39">
        <v>6437701</v>
      </c>
    </row>
    <row r="26" spans="1:6" x14ac:dyDescent="0.25">
      <c r="A26" s="48" t="s">
        <v>288</v>
      </c>
      <c r="B26" s="39">
        <v>282206</v>
      </c>
      <c r="C26" s="39">
        <v>712510</v>
      </c>
      <c r="D26" s="39">
        <v>2253425</v>
      </c>
      <c r="E26" s="39">
        <v>11309</v>
      </c>
      <c r="F26" s="39">
        <v>7977530</v>
      </c>
    </row>
    <row r="27" spans="1:6" x14ac:dyDescent="0.25">
      <c r="A27" s="48" t="s">
        <v>289</v>
      </c>
      <c r="B27" s="39">
        <v>308460</v>
      </c>
      <c r="C27" s="39">
        <v>703640</v>
      </c>
      <c r="D27" s="39">
        <v>2336381</v>
      </c>
      <c r="E27" s="39">
        <v>16253</v>
      </c>
      <c r="F27" s="39">
        <v>8152073</v>
      </c>
    </row>
    <row r="28" spans="1:6" x14ac:dyDescent="0.25">
      <c r="A28" s="48" t="s">
        <v>290</v>
      </c>
      <c r="B28" s="39">
        <v>320586</v>
      </c>
      <c r="C28" s="39">
        <v>785646</v>
      </c>
      <c r="D28" s="39">
        <v>2547325</v>
      </c>
      <c r="E28" s="39">
        <v>17998</v>
      </c>
      <c r="F28" s="39">
        <v>9242185</v>
      </c>
    </row>
    <row r="29" spans="1:6" x14ac:dyDescent="0.25">
      <c r="A29" s="48" t="s">
        <v>291</v>
      </c>
      <c r="B29" s="39">
        <v>331033</v>
      </c>
      <c r="C29" s="39">
        <v>856591</v>
      </c>
      <c r="D29" s="39">
        <v>2636113</v>
      </c>
      <c r="E29" s="39">
        <v>17708</v>
      </c>
      <c r="F29" s="39">
        <v>9386589</v>
      </c>
    </row>
    <row r="30" spans="1:6" x14ac:dyDescent="0.25">
      <c r="A30" s="48" t="s">
        <v>292</v>
      </c>
      <c r="B30" s="39">
        <v>339378</v>
      </c>
      <c r="C30" s="39">
        <v>850360</v>
      </c>
      <c r="D30" s="39">
        <v>2943813</v>
      </c>
      <c r="E30" s="39">
        <v>19909</v>
      </c>
      <c r="F30" s="39">
        <v>10359035</v>
      </c>
    </row>
    <row r="31" spans="1:6" x14ac:dyDescent="0.25">
      <c r="A31" s="48" t="s">
        <v>293</v>
      </c>
      <c r="B31" s="39">
        <v>322589</v>
      </c>
      <c r="C31" s="39">
        <v>821261</v>
      </c>
      <c r="D31" s="39">
        <v>2739525</v>
      </c>
      <c r="E31" s="39">
        <v>19596</v>
      </c>
      <c r="F31" s="39">
        <v>9666757</v>
      </c>
    </row>
    <row r="32" spans="1:6" x14ac:dyDescent="0.25">
      <c r="A32" s="48" t="s">
        <v>294</v>
      </c>
      <c r="B32" s="39">
        <v>340117</v>
      </c>
      <c r="C32" s="39">
        <v>902528</v>
      </c>
      <c r="D32" s="39">
        <v>2630519</v>
      </c>
      <c r="E32" s="39">
        <v>18898</v>
      </c>
      <c r="F32" s="39">
        <v>9725655</v>
      </c>
    </row>
    <row r="33" spans="1:6" x14ac:dyDescent="0.25">
      <c r="A33" s="48" t="s">
        <v>295</v>
      </c>
      <c r="B33" s="39">
        <v>330219</v>
      </c>
      <c r="C33" s="39">
        <v>844893</v>
      </c>
      <c r="D33" s="39">
        <v>2580860</v>
      </c>
      <c r="E33" s="39">
        <v>17656</v>
      </c>
      <c r="F33" s="39">
        <v>9423748</v>
      </c>
    </row>
    <row r="34" spans="1:6" x14ac:dyDescent="0.25">
      <c r="A34" s="48" t="s">
        <v>296</v>
      </c>
      <c r="B34" s="39">
        <v>242084</v>
      </c>
      <c r="C34" s="39">
        <v>742536</v>
      </c>
      <c r="D34" s="39">
        <v>2053332</v>
      </c>
      <c r="E34" s="39">
        <v>8908</v>
      </c>
      <c r="F34" s="39">
        <v>7216753</v>
      </c>
    </row>
    <row r="35" spans="1:6" x14ac:dyDescent="0.25">
      <c r="A35" s="48" t="s">
        <v>297</v>
      </c>
      <c r="B35" s="39">
        <v>245016</v>
      </c>
      <c r="C35" s="39">
        <v>642006</v>
      </c>
      <c r="D35" s="39">
        <v>2008540</v>
      </c>
      <c r="E35" s="39">
        <v>9128</v>
      </c>
      <c r="F35" s="39">
        <v>6730211</v>
      </c>
    </row>
    <row r="36" spans="1:6" x14ac:dyDescent="0.25">
      <c r="A36" s="48" t="s">
        <v>299</v>
      </c>
    </row>
    <row r="37" spans="1:6" x14ac:dyDescent="0.25">
      <c r="A37" s="48" t="s">
        <v>286</v>
      </c>
      <c r="B37" s="39">
        <v>220192</v>
      </c>
      <c r="C37" s="39">
        <v>605349</v>
      </c>
      <c r="D37" s="39">
        <v>1894441</v>
      </c>
      <c r="E37" s="39">
        <v>7095</v>
      </c>
      <c r="F37" s="39">
        <v>6165292</v>
      </c>
    </row>
    <row r="38" spans="1:6" x14ac:dyDescent="0.25">
      <c r="A38" s="48" t="s">
        <v>287</v>
      </c>
      <c r="B38" s="39">
        <v>221649</v>
      </c>
      <c r="C38" s="39">
        <v>629722</v>
      </c>
      <c r="D38" s="39">
        <v>1815852</v>
      </c>
      <c r="E38" s="39">
        <v>7116</v>
      </c>
      <c r="F38" s="39">
        <v>6259454</v>
      </c>
    </row>
    <row r="39" spans="1:6" x14ac:dyDescent="0.25">
      <c r="A39" s="48" t="s">
        <v>288</v>
      </c>
      <c r="B39" s="39">
        <v>272090</v>
      </c>
      <c r="C39" s="39">
        <v>773620</v>
      </c>
      <c r="D39" s="39">
        <v>2247477</v>
      </c>
      <c r="E39" s="39">
        <v>10298</v>
      </c>
      <c r="F39" s="39">
        <v>7925486</v>
      </c>
    </row>
    <row r="40" spans="1:6" x14ac:dyDescent="0.25">
      <c r="A40" s="48" t="s">
        <v>289</v>
      </c>
      <c r="B40" s="39">
        <v>275675</v>
      </c>
      <c r="C40" s="39">
        <v>796175</v>
      </c>
      <c r="D40" s="39">
        <v>2267304</v>
      </c>
      <c r="E40" s="39">
        <v>16659</v>
      </c>
      <c r="F40" s="39">
        <v>8143413</v>
      </c>
    </row>
    <row r="41" spans="1:6" x14ac:dyDescent="0.25">
      <c r="A41" s="48" t="s">
        <v>290</v>
      </c>
      <c r="B41" s="39">
        <v>303225</v>
      </c>
      <c r="C41" s="39">
        <v>863510</v>
      </c>
      <c r="D41" s="39">
        <v>2560191</v>
      </c>
      <c r="E41" s="39">
        <v>18692</v>
      </c>
      <c r="F41" s="39">
        <v>9353927</v>
      </c>
    </row>
    <row r="42" spans="1:6" x14ac:dyDescent="0.25">
      <c r="A42" s="48" t="s">
        <v>291</v>
      </c>
      <c r="B42" s="39">
        <v>305713</v>
      </c>
      <c r="C42" s="39">
        <v>966360</v>
      </c>
      <c r="D42" s="39">
        <v>2648107</v>
      </c>
      <c r="E42" s="39">
        <v>18805</v>
      </c>
      <c r="F42" s="39">
        <v>9587850</v>
      </c>
    </row>
    <row r="43" spans="1:6" x14ac:dyDescent="0.25">
      <c r="A43" s="48" t="s">
        <v>292</v>
      </c>
      <c r="B43" s="39">
        <v>310125</v>
      </c>
      <c r="C43" s="39">
        <v>912410</v>
      </c>
      <c r="D43" s="39">
        <v>2951572</v>
      </c>
      <c r="E43" s="39">
        <v>21202</v>
      </c>
      <c r="F43" s="39">
        <v>10365657</v>
      </c>
    </row>
    <row r="44" spans="1:6" x14ac:dyDescent="0.25">
      <c r="A44" s="48" t="s">
        <v>293</v>
      </c>
      <c r="B44" s="39">
        <v>300945</v>
      </c>
      <c r="C44" s="39">
        <v>882450</v>
      </c>
      <c r="D44" s="39">
        <v>2856785</v>
      </c>
      <c r="E44" s="39">
        <v>18424</v>
      </c>
      <c r="F44" s="39">
        <v>9933620</v>
      </c>
    </row>
    <row r="45" spans="1:6" x14ac:dyDescent="0.25">
      <c r="A45" s="48" t="s">
        <v>294</v>
      </c>
      <c r="B45" s="39">
        <v>321706</v>
      </c>
      <c r="C45" s="39">
        <v>966570</v>
      </c>
      <c r="D45" s="39">
        <v>2721436</v>
      </c>
      <c r="E45" s="39">
        <v>20996</v>
      </c>
      <c r="F45" s="39">
        <v>9927733</v>
      </c>
    </row>
    <row r="46" spans="1:6" x14ac:dyDescent="0.25">
      <c r="A46" s="48" t="s">
        <v>295</v>
      </c>
      <c r="B46" s="39">
        <v>316623</v>
      </c>
      <c r="C46" s="39">
        <v>898376</v>
      </c>
      <c r="D46" s="39">
        <v>2681021</v>
      </c>
      <c r="E46" s="39">
        <v>18202</v>
      </c>
      <c r="F46" s="39">
        <v>9624282</v>
      </c>
    </row>
    <row r="47" spans="1:6" x14ac:dyDescent="0.25">
      <c r="A47" s="48" t="s">
        <v>296</v>
      </c>
      <c r="B47" s="39">
        <v>242492</v>
      </c>
      <c r="C47" s="39">
        <v>767129</v>
      </c>
      <c r="D47" s="39">
        <v>2123548</v>
      </c>
      <c r="E47" s="39">
        <v>8770</v>
      </c>
      <c r="F47" s="39">
        <v>7271698</v>
      </c>
    </row>
    <row r="48" spans="1:6" x14ac:dyDescent="0.25">
      <c r="A48" s="48" t="s">
        <v>297</v>
      </c>
      <c r="B48" s="39">
        <v>258488</v>
      </c>
      <c r="C48" s="39">
        <v>708538</v>
      </c>
      <c r="D48" s="39">
        <v>2071228</v>
      </c>
      <c r="E48" s="39">
        <v>8232</v>
      </c>
      <c r="F48" s="39">
        <v>6886254</v>
      </c>
    </row>
    <row r="49" spans="1:6" x14ac:dyDescent="0.25">
      <c r="A49" s="48" t="s">
        <v>300</v>
      </c>
    </row>
    <row r="50" spans="1:6" x14ac:dyDescent="0.25">
      <c r="A50" s="48" t="s">
        <v>286</v>
      </c>
      <c r="B50" s="39">
        <v>225760</v>
      </c>
      <c r="C50" s="39">
        <v>663092</v>
      </c>
      <c r="D50" s="39">
        <v>1950980</v>
      </c>
      <c r="E50" s="39">
        <v>6220</v>
      </c>
      <c r="F50" s="39">
        <v>6355387</v>
      </c>
    </row>
    <row r="51" spans="1:6" x14ac:dyDescent="0.25">
      <c r="A51" s="48" t="s">
        <v>287</v>
      </c>
      <c r="B51" s="39">
        <v>237950</v>
      </c>
      <c r="C51" s="39">
        <v>678663</v>
      </c>
      <c r="D51" s="39">
        <v>1846215</v>
      </c>
      <c r="E51" s="39">
        <v>5670</v>
      </c>
      <c r="F51" s="39">
        <v>6482731</v>
      </c>
    </row>
    <row r="52" spans="1:6" x14ac:dyDescent="0.25">
      <c r="A52" s="48" t="s">
        <v>288</v>
      </c>
      <c r="B52" s="39">
        <v>275331</v>
      </c>
      <c r="C52" s="39">
        <v>788989</v>
      </c>
      <c r="D52" s="39">
        <v>2203375</v>
      </c>
      <c r="E52" s="39">
        <v>6793</v>
      </c>
      <c r="F52" s="39">
        <v>7695050</v>
      </c>
    </row>
    <row r="53" spans="1:6" x14ac:dyDescent="0.25">
      <c r="A53" s="48" t="s">
        <v>289</v>
      </c>
      <c r="B53" s="39">
        <v>314780</v>
      </c>
      <c r="C53" s="39">
        <v>848848</v>
      </c>
      <c r="D53" s="39">
        <v>2344911</v>
      </c>
      <c r="E53" s="39">
        <v>11057</v>
      </c>
      <c r="F53" s="39">
        <v>8453487</v>
      </c>
    </row>
    <row r="54" spans="1:6" x14ac:dyDescent="0.25">
      <c r="A54" s="48" t="s">
        <v>290</v>
      </c>
      <c r="B54" s="39">
        <v>322217</v>
      </c>
      <c r="C54" s="39">
        <v>938829</v>
      </c>
      <c r="D54" s="39">
        <v>2637299</v>
      </c>
      <c r="E54" s="39">
        <v>10943</v>
      </c>
      <c r="F54" s="39">
        <v>9503657</v>
      </c>
    </row>
    <row r="55" spans="1:6" x14ac:dyDescent="0.25">
      <c r="A55" s="48" t="s">
        <v>291</v>
      </c>
      <c r="B55" s="39">
        <v>323208</v>
      </c>
      <c r="C55" s="39">
        <v>941993</v>
      </c>
      <c r="D55" s="39">
        <v>2737822</v>
      </c>
      <c r="E55" s="39">
        <v>10777</v>
      </c>
      <c r="F55" s="39">
        <v>9727182</v>
      </c>
    </row>
    <row r="56" spans="1:6" x14ac:dyDescent="0.25">
      <c r="A56" s="48" t="s">
        <v>292</v>
      </c>
      <c r="B56" s="39">
        <v>339046</v>
      </c>
      <c r="C56" s="39">
        <v>1008555</v>
      </c>
      <c r="D56" s="39">
        <v>3001433</v>
      </c>
      <c r="E56" s="39">
        <v>12897</v>
      </c>
      <c r="F56" s="39">
        <v>10654880</v>
      </c>
    </row>
    <row r="57" spans="1:6" x14ac:dyDescent="0.25">
      <c r="A57" s="48" t="s">
        <v>293</v>
      </c>
      <c r="B57" s="39">
        <v>332607</v>
      </c>
      <c r="C57" s="39">
        <v>934797</v>
      </c>
      <c r="D57" s="39">
        <v>3061304</v>
      </c>
      <c r="E57" s="39">
        <v>4926</v>
      </c>
      <c r="F57" s="39">
        <v>10565014</v>
      </c>
    </row>
    <row r="58" spans="1:6" x14ac:dyDescent="0.25">
      <c r="A58" s="48" t="s">
        <v>294</v>
      </c>
      <c r="B58" s="39">
        <v>341424</v>
      </c>
      <c r="C58" s="39">
        <v>992810</v>
      </c>
      <c r="D58" s="39">
        <v>2853657</v>
      </c>
      <c r="E58" s="39">
        <v>4369</v>
      </c>
      <c r="F58" s="39">
        <v>10256334</v>
      </c>
    </row>
    <row r="59" spans="1:6" x14ac:dyDescent="0.25">
      <c r="A59" s="48" t="s">
        <v>295</v>
      </c>
      <c r="B59" s="39">
        <v>355264</v>
      </c>
      <c r="C59" s="39">
        <v>970357</v>
      </c>
      <c r="D59" s="39">
        <v>2715226</v>
      </c>
      <c r="E59" s="39">
        <v>3851</v>
      </c>
      <c r="F59" s="39">
        <v>9876109</v>
      </c>
    </row>
    <row r="60" spans="1:6" x14ac:dyDescent="0.25">
      <c r="A60" s="48" t="s">
        <v>296</v>
      </c>
      <c r="B60" s="39">
        <v>273247</v>
      </c>
      <c r="C60" s="39">
        <v>800112</v>
      </c>
      <c r="D60" s="39">
        <v>2176679</v>
      </c>
      <c r="E60" s="39">
        <v>3120</v>
      </c>
      <c r="F60" s="39">
        <v>7606464</v>
      </c>
    </row>
    <row r="61" spans="1:6" x14ac:dyDescent="0.25">
      <c r="A61" s="48" t="s">
        <v>297</v>
      </c>
      <c r="B61" s="39">
        <v>286226</v>
      </c>
      <c r="C61" s="39">
        <v>739929</v>
      </c>
      <c r="D61" s="39">
        <v>2034777</v>
      </c>
      <c r="E61" s="39">
        <v>3351</v>
      </c>
      <c r="F61" s="39">
        <v>7139522</v>
      </c>
    </row>
    <row r="62" spans="1:6" x14ac:dyDescent="0.25">
      <c r="A62" s="48" t="s">
        <v>301</v>
      </c>
    </row>
    <row r="63" spans="1:6" x14ac:dyDescent="0.25">
      <c r="A63" s="48" t="s">
        <v>286</v>
      </c>
      <c r="B63" s="39">
        <v>247446</v>
      </c>
      <c r="C63" s="39">
        <v>666851</v>
      </c>
      <c r="D63" s="39">
        <v>1964764</v>
      </c>
      <c r="E63" s="39">
        <v>3096</v>
      </c>
      <c r="F63" s="39">
        <v>6499627</v>
      </c>
    </row>
    <row r="64" spans="1:6" x14ac:dyDescent="0.25">
      <c r="A64" s="48" t="s">
        <v>287</v>
      </c>
      <c r="B64" s="39">
        <v>267916</v>
      </c>
      <c r="C64" s="39">
        <v>679615</v>
      </c>
      <c r="D64" s="39">
        <v>1938507</v>
      </c>
      <c r="E64" s="39">
        <v>2931</v>
      </c>
      <c r="F64" s="39">
        <v>6682322</v>
      </c>
    </row>
    <row r="65" spans="1:6" x14ac:dyDescent="0.25">
      <c r="A65" s="48" t="s">
        <v>288</v>
      </c>
      <c r="B65" s="39">
        <v>321143</v>
      </c>
      <c r="C65" s="39">
        <v>845830</v>
      </c>
      <c r="D65" s="39">
        <v>2310937</v>
      </c>
      <c r="E65" s="39">
        <v>3345</v>
      </c>
      <c r="F65" s="39">
        <v>8265004</v>
      </c>
    </row>
    <row r="66" spans="1:6" x14ac:dyDescent="0.25">
      <c r="A66" s="48" t="s">
        <v>289</v>
      </c>
      <c r="B66" s="39">
        <v>331098</v>
      </c>
      <c r="C66" s="39">
        <v>846262</v>
      </c>
      <c r="D66" s="39">
        <v>2463358</v>
      </c>
      <c r="E66" s="39">
        <v>3657</v>
      </c>
      <c r="F66" s="39">
        <v>8656891</v>
      </c>
    </row>
    <row r="67" spans="1:6" x14ac:dyDescent="0.25">
      <c r="A67" s="48" t="s">
        <v>290</v>
      </c>
      <c r="B67" s="39">
        <v>354627</v>
      </c>
      <c r="C67" s="39">
        <v>954751</v>
      </c>
      <c r="D67" s="39">
        <v>2802385</v>
      </c>
      <c r="E67" s="39">
        <v>5404</v>
      </c>
      <c r="F67" s="39">
        <v>10136272</v>
      </c>
    </row>
    <row r="68" spans="1:6" x14ac:dyDescent="0.25">
      <c r="A68" s="48" t="s">
        <v>291</v>
      </c>
      <c r="B68" s="39">
        <v>364370</v>
      </c>
      <c r="C68" s="39">
        <v>962325</v>
      </c>
      <c r="D68" s="39">
        <v>2819542</v>
      </c>
      <c r="E68" s="39">
        <v>5169</v>
      </c>
      <c r="F68" s="39">
        <v>10091739</v>
      </c>
    </row>
    <row r="69" spans="1:6" x14ac:dyDescent="0.25">
      <c r="A69" s="48" t="s">
        <v>292</v>
      </c>
      <c r="B69" s="39">
        <v>371948</v>
      </c>
      <c r="C69" s="39">
        <v>1033381</v>
      </c>
      <c r="D69" s="39">
        <v>3179703</v>
      </c>
      <c r="E69" s="39">
        <v>7424</v>
      </c>
      <c r="F69" s="39">
        <v>11183474</v>
      </c>
    </row>
    <row r="70" spans="1:6" x14ac:dyDescent="0.25">
      <c r="A70" s="48" t="s">
        <v>293</v>
      </c>
      <c r="B70" s="39">
        <v>360927</v>
      </c>
      <c r="C70" s="39">
        <v>951969</v>
      </c>
      <c r="D70" s="39">
        <v>3147248</v>
      </c>
      <c r="E70" s="39">
        <v>7600</v>
      </c>
      <c r="F70" s="39">
        <v>10943521</v>
      </c>
    </row>
    <row r="71" spans="1:6" x14ac:dyDescent="0.25">
      <c r="A71" s="48" t="s">
        <v>294</v>
      </c>
      <c r="B71" s="39">
        <v>387495</v>
      </c>
      <c r="C71" s="39">
        <v>1001724</v>
      </c>
      <c r="D71" s="39">
        <v>2816375</v>
      </c>
      <c r="E71" s="39">
        <v>6753</v>
      </c>
      <c r="F71" s="39">
        <v>10430586</v>
      </c>
    </row>
    <row r="72" spans="1:6" x14ac:dyDescent="0.25">
      <c r="A72" s="48" t="s">
        <v>295</v>
      </c>
      <c r="B72" s="39">
        <v>421241</v>
      </c>
      <c r="C72" s="39">
        <v>990433</v>
      </c>
      <c r="D72" s="39">
        <v>2834004</v>
      </c>
      <c r="E72" s="39">
        <v>6099</v>
      </c>
      <c r="F72" s="39">
        <v>10395950</v>
      </c>
    </row>
    <row r="73" spans="1:6" x14ac:dyDescent="0.25">
      <c r="A73" s="48" t="s">
        <v>296</v>
      </c>
      <c r="B73" s="39">
        <v>404040</v>
      </c>
      <c r="C73" s="39">
        <v>796173</v>
      </c>
      <c r="D73" s="39">
        <v>1931504</v>
      </c>
      <c r="E73" s="39">
        <v>5164</v>
      </c>
      <c r="F73" s="39">
        <v>7495717</v>
      </c>
    </row>
    <row r="74" spans="1:6" x14ac:dyDescent="0.25">
      <c r="A74" s="48" t="s">
        <v>297</v>
      </c>
      <c r="B74" s="39">
        <v>403428</v>
      </c>
      <c r="C74" s="39">
        <v>746748</v>
      </c>
      <c r="D74" s="39">
        <v>2082764</v>
      </c>
      <c r="E74" s="39">
        <v>5558</v>
      </c>
      <c r="F74" s="39">
        <v>7421781</v>
      </c>
    </row>
    <row r="75" spans="1:6" x14ac:dyDescent="0.25">
      <c r="A75" s="48" t="s">
        <v>302</v>
      </c>
    </row>
    <row r="76" spans="1:6" x14ac:dyDescent="0.25">
      <c r="A76" s="48" t="s">
        <v>286</v>
      </c>
      <c r="B76" s="39">
        <v>356283</v>
      </c>
      <c r="C76" s="39">
        <v>675547</v>
      </c>
      <c r="D76" s="39">
        <v>2007688</v>
      </c>
      <c r="E76" s="39" t="s">
        <v>35</v>
      </c>
      <c r="F76" s="39">
        <v>6770970</v>
      </c>
    </row>
    <row r="77" spans="1:6" x14ac:dyDescent="0.25">
      <c r="A77" s="48" t="s">
        <v>287</v>
      </c>
      <c r="B77" s="39">
        <v>395085</v>
      </c>
      <c r="C77" s="39">
        <v>704019</v>
      </c>
      <c r="D77" s="39">
        <v>2012505</v>
      </c>
      <c r="E77" s="39" t="s">
        <v>35</v>
      </c>
      <c r="F77" s="39">
        <v>7164738</v>
      </c>
    </row>
    <row r="78" spans="1:6" x14ac:dyDescent="0.25">
      <c r="A78" s="48" t="s">
        <v>288</v>
      </c>
      <c r="B78" s="39">
        <v>449043</v>
      </c>
      <c r="C78" s="39">
        <v>839598</v>
      </c>
      <c r="D78" s="39">
        <v>2405573</v>
      </c>
      <c r="E78" s="39" t="s">
        <v>35</v>
      </c>
      <c r="F78" s="39">
        <v>8637408</v>
      </c>
    </row>
    <row r="79" spans="1:6" x14ac:dyDescent="0.25">
      <c r="A79" s="48" t="s">
        <v>289</v>
      </c>
      <c r="B79" s="39">
        <v>443692</v>
      </c>
      <c r="C79" s="39">
        <v>829566</v>
      </c>
      <c r="D79" s="39">
        <v>2401023</v>
      </c>
      <c r="E79" s="39" t="s">
        <v>35</v>
      </c>
      <c r="F79" s="39">
        <v>8800205</v>
      </c>
    </row>
    <row r="80" spans="1:6" x14ac:dyDescent="0.25">
      <c r="A80" s="48" t="s">
        <v>290</v>
      </c>
      <c r="B80" s="39">
        <v>507598</v>
      </c>
      <c r="C80" s="39">
        <v>929154</v>
      </c>
      <c r="D80" s="39">
        <v>2623170</v>
      </c>
      <c r="E80" s="39" t="s">
        <v>35</v>
      </c>
      <c r="F80" s="39">
        <v>10073732</v>
      </c>
    </row>
    <row r="81" spans="1:6" x14ac:dyDescent="0.25">
      <c r="A81" s="48" t="s">
        <v>291</v>
      </c>
      <c r="B81" s="39">
        <v>485418</v>
      </c>
      <c r="C81" s="39">
        <v>985238</v>
      </c>
      <c r="D81" s="39">
        <v>2732903</v>
      </c>
      <c r="E81" s="39" t="s">
        <v>35</v>
      </c>
      <c r="F81" s="39">
        <v>10394582</v>
      </c>
    </row>
    <row r="82" spans="1:6" x14ac:dyDescent="0.25">
      <c r="A82" s="48" t="s">
        <v>292</v>
      </c>
      <c r="B82" s="39">
        <v>519403</v>
      </c>
      <c r="C82" s="39">
        <v>1050896</v>
      </c>
      <c r="D82" s="39">
        <v>3146420</v>
      </c>
      <c r="E82" s="39" t="s">
        <v>35</v>
      </c>
      <c r="F82" s="39">
        <v>11615314</v>
      </c>
    </row>
    <row r="83" spans="1:6" x14ac:dyDescent="0.25">
      <c r="A83" s="48" t="s">
        <v>293</v>
      </c>
      <c r="B83" s="39">
        <v>519584</v>
      </c>
      <c r="C83" s="39">
        <v>956261</v>
      </c>
      <c r="D83" s="39">
        <v>2952851</v>
      </c>
      <c r="E83" s="39" t="s">
        <v>35</v>
      </c>
      <c r="F83" s="39">
        <v>10913008</v>
      </c>
    </row>
    <row r="84" spans="1:6" x14ac:dyDescent="0.25">
      <c r="A84" s="48" t="s">
        <v>294</v>
      </c>
      <c r="B84" s="39">
        <v>562302</v>
      </c>
      <c r="C84" s="39">
        <v>1046105</v>
      </c>
      <c r="D84" s="39">
        <v>2915061</v>
      </c>
      <c r="E84" s="39" t="s">
        <v>35</v>
      </c>
      <c r="F84" s="39">
        <v>11103824</v>
      </c>
    </row>
    <row r="85" spans="1:6" x14ac:dyDescent="0.25">
      <c r="A85" s="48" t="s">
        <v>295</v>
      </c>
      <c r="B85" s="39">
        <v>569162</v>
      </c>
      <c r="C85" s="39">
        <v>958179</v>
      </c>
      <c r="D85" s="39">
        <v>2810609</v>
      </c>
      <c r="E85" s="39" t="s">
        <v>35</v>
      </c>
      <c r="F85" s="39">
        <v>10632353</v>
      </c>
    </row>
    <row r="86" spans="1:6" x14ac:dyDescent="0.25">
      <c r="A86" s="48" t="s">
        <v>296</v>
      </c>
      <c r="B86" s="39">
        <v>472025</v>
      </c>
      <c r="C86" s="39">
        <v>827623</v>
      </c>
      <c r="D86" s="39">
        <v>2023741</v>
      </c>
      <c r="E86" s="39" t="s">
        <v>35</v>
      </c>
      <c r="F86" s="39">
        <v>7784740</v>
      </c>
    </row>
    <row r="87" spans="1:6" x14ac:dyDescent="0.25">
      <c r="A87" s="48" t="s">
        <v>297</v>
      </c>
      <c r="B87" s="39">
        <v>518246</v>
      </c>
      <c r="C87" s="39">
        <v>781517</v>
      </c>
      <c r="D87" s="39">
        <v>2154202</v>
      </c>
      <c r="E87" s="39" t="s">
        <v>35</v>
      </c>
      <c r="F87" s="39">
        <v>8010747</v>
      </c>
    </row>
    <row r="88" spans="1:6" x14ac:dyDescent="0.25">
      <c r="A88" s="48" t="s">
        <v>303</v>
      </c>
    </row>
    <row r="89" spans="1:6" x14ac:dyDescent="0.25">
      <c r="A89" s="48" t="s">
        <v>286</v>
      </c>
      <c r="B89" s="39">
        <v>452361</v>
      </c>
      <c r="C89" s="39">
        <v>698232</v>
      </c>
      <c r="D89" s="39">
        <v>2053764</v>
      </c>
      <c r="E89" s="39" t="s">
        <v>35</v>
      </c>
      <c r="F89" s="39">
        <v>7265288</v>
      </c>
    </row>
    <row r="90" spans="1:6" x14ac:dyDescent="0.25">
      <c r="A90" s="48" t="s">
        <v>287</v>
      </c>
      <c r="B90" s="39">
        <v>453965</v>
      </c>
      <c r="C90" s="39">
        <v>692331</v>
      </c>
      <c r="D90" s="39">
        <v>2031148</v>
      </c>
      <c r="E90" s="39" t="s">
        <v>35</v>
      </c>
      <c r="F90" s="39">
        <v>7392116</v>
      </c>
    </row>
    <row r="91" spans="1:6" x14ac:dyDescent="0.25">
      <c r="A91" s="48" t="s">
        <v>288</v>
      </c>
      <c r="B91" s="39">
        <v>479641</v>
      </c>
      <c r="C91" s="39">
        <v>754706</v>
      </c>
      <c r="D91" s="39">
        <v>2416057</v>
      </c>
      <c r="E91" s="39" t="s">
        <v>35</v>
      </c>
      <c r="F91" s="39">
        <v>8807684</v>
      </c>
    </row>
    <row r="92" spans="1:6" x14ac:dyDescent="0.25">
      <c r="A92" s="48" t="s">
        <v>289</v>
      </c>
      <c r="B92" s="39">
        <v>557993</v>
      </c>
      <c r="C92" s="39">
        <v>900082</v>
      </c>
      <c r="D92" s="39">
        <v>2680241</v>
      </c>
      <c r="E92" s="39" t="s">
        <v>35</v>
      </c>
      <c r="F92" s="39">
        <v>9952170</v>
      </c>
    </row>
    <row r="93" spans="1:6" x14ac:dyDescent="0.25">
      <c r="A93" s="48" t="s">
        <v>290</v>
      </c>
      <c r="B93" s="39">
        <v>570968</v>
      </c>
      <c r="C93" s="39">
        <v>976636</v>
      </c>
      <c r="D93" s="39">
        <v>2773083</v>
      </c>
      <c r="E93" s="39" t="s">
        <v>35</v>
      </c>
      <c r="F93" s="39">
        <v>10695230</v>
      </c>
    </row>
    <row r="94" spans="1:6" x14ac:dyDescent="0.25">
      <c r="A94" s="48" t="s">
        <v>291</v>
      </c>
      <c r="B94" s="39">
        <v>571423</v>
      </c>
      <c r="C94" s="39">
        <v>1005551</v>
      </c>
      <c r="D94" s="39">
        <v>2873284</v>
      </c>
      <c r="E94" s="39" t="s">
        <v>35</v>
      </c>
      <c r="F94" s="39">
        <v>11044250</v>
      </c>
    </row>
    <row r="95" spans="1:6" x14ac:dyDescent="0.25">
      <c r="A95" s="48" t="s">
        <v>292</v>
      </c>
      <c r="B95" s="39">
        <v>596101</v>
      </c>
      <c r="C95" s="39">
        <v>1088964</v>
      </c>
      <c r="D95" s="39">
        <v>3272433</v>
      </c>
      <c r="E95" s="39" t="s">
        <v>35</v>
      </c>
      <c r="F95" s="39">
        <v>12286687</v>
      </c>
    </row>
    <row r="96" spans="1:6" x14ac:dyDescent="0.25">
      <c r="A96" s="48" t="s">
        <v>293</v>
      </c>
      <c r="B96" s="39">
        <v>597120</v>
      </c>
      <c r="C96" s="39">
        <v>968614</v>
      </c>
      <c r="D96" s="39">
        <v>3099050</v>
      </c>
      <c r="E96" s="39" t="s">
        <v>35</v>
      </c>
      <c r="F96" s="39">
        <v>11553510</v>
      </c>
    </row>
    <row r="97" spans="1:6" x14ac:dyDescent="0.25">
      <c r="A97" s="48" t="s">
        <v>294</v>
      </c>
      <c r="B97" s="39">
        <v>581062</v>
      </c>
      <c r="C97" s="39">
        <v>1011880</v>
      </c>
      <c r="D97" s="39">
        <v>3070865</v>
      </c>
      <c r="E97" s="39" t="s">
        <v>35</v>
      </c>
      <c r="F97" s="39">
        <v>11591282</v>
      </c>
    </row>
    <row r="98" spans="1:6" x14ac:dyDescent="0.25">
      <c r="A98" s="48" t="s">
        <v>295</v>
      </c>
      <c r="B98" s="39">
        <v>600429</v>
      </c>
      <c r="C98" s="39">
        <v>859668</v>
      </c>
      <c r="D98" s="39">
        <v>3010261</v>
      </c>
      <c r="E98" s="39" t="s">
        <v>35</v>
      </c>
      <c r="F98" s="39">
        <v>11006645</v>
      </c>
    </row>
    <row r="99" spans="1:6" x14ac:dyDescent="0.25">
      <c r="A99" s="48" t="s">
        <v>296</v>
      </c>
      <c r="B99" s="39">
        <v>457227</v>
      </c>
      <c r="C99" s="39">
        <v>633492</v>
      </c>
      <c r="D99" s="39">
        <v>2421438</v>
      </c>
      <c r="E99" s="39" t="s">
        <v>35</v>
      </c>
      <c r="F99" s="39">
        <v>8081086</v>
      </c>
    </row>
    <row r="100" spans="1:6" x14ac:dyDescent="0.25">
      <c r="A100" s="48" t="s">
        <v>297</v>
      </c>
      <c r="B100" s="39" t="s">
        <v>304</v>
      </c>
      <c r="C100" s="39" t="s">
        <v>304</v>
      </c>
      <c r="D100" s="39" t="s">
        <v>304</v>
      </c>
      <c r="E100" s="39" t="s">
        <v>304</v>
      </c>
      <c r="F100" s="39" t="s">
        <v>304</v>
      </c>
    </row>
    <row r="101" spans="1:6" x14ac:dyDescent="0.25">
      <c r="A101" s="48" t="s">
        <v>256</v>
      </c>
    </row>
    <row r="102" spans="1:6" x14ac:dyDescent="0.25">
      <c r="A102" s="50" t="s">
        <v>257</v>
      </c>
    </row>
    <row r="103" spans="1:6" x14ac:dyDescent="0.25">
      <c r="A103" s="50" t="s">
        <v>305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4"/>
  <sheetViews>
    <sheetView zoomScale="140" zoomScaleNormal="140" workbookViewId="0">
      <pane xSplit="1" ySplit="1" topLeftCell="B2" activePane="bottomRight" state="frozen"/>
      <selection pane="topRight"/>
      <selection pane="bottomLeft"/>
      <selection pane="bottomRight" activeCell="M3" sqref="M3"/>
    </sheetView>
  </sheetViews>
  <sheetFormatPr defaultColWidth="9.140625" defaultRowHeight="15" x14ac:dyDescent="0.25"/>
  <cols>
    <col min="1" max="1" width="17.5703125" style="28" customWidth="1"/>
    <col min="2" max="2" width="16.5703125" style="28" customWidth="1"/>
    <col min="3" max="6" width="15.42578125" style="28" customWidth="1"/>
    <col min="7" max="8" width="9.140625" style="28"/>
    <col min="9" max="9" width="14" style="28" customWidth="1"/>
    <col min="10" max="10" width="13.7109375" style="28" customWidth="1"/>
    <col min="11" max="11" width="14.85546875" style="28" customWidth="1"/>
    <col min="12" max="12" width="12.140625" style="28" customWidth="1"/>
    <col min="13" max="13" width="9.140625" style="28"/>
    <col min="14" max="14" width="10" style="29" bestFit="1" customWidth="1"/>
    <col min="15" max="15" width="12.140625" style="29" bestFit="1" customWidth="1"/>
    <col min="16" max="16" width="12.140625" style="28" bestFit="1" customWidth="1"/>
    <col min="17" max="17" width="11.5703125" style="28" bestFit="1" customWidth="1"/>
    <col min="18" max="18" width="12.140625" style="28" bestFit="1" customWidth="1"/>
    <col min="19" max="16384" width="9.140625" style="28"/>
  </cols>
  <sheetData>
    <row r="1" spans="1:19" ht="72" customHeight="1" x14ac:dyDescent="0.25">
      <c r="A1" s="26" t="s">
        <v>266</v>
      </c>
      <c r="B1" s="28" t="s">
        <v>263</v>
      </c>
      <c r="C1" s="28" t="s">
        <v>264</v>
      </c>
      <c r="D1" s="40" t="s">
        <v>270</v>
      </c>
      <c r="E1" s="28" t="s">
        <v>271</v>
      </c>
      <c r="F1" s="46" t="s">
        <v>279</v>
      </c>
      <c r="P1" s="30" t="s">
        <v>267</v>
      </c>
      <c r="Q1" s="31" t="s">
        <v>2</v>
      </c>
      <c r="R1" s="31" t="s">
        <v>3</v>
      </c>
      <c r="S1" s="31" t="s">
        <v>268</v>
      </c>
    </row>
    <row r="2" spans="1:19" x14ac:dyDescent="0.25">
      <c r="A2" s="38">
        <v>40544</v>
      </c>
      <c r="B2" s="39">
        <v>43174</v>
      </c>
      <c r="C2" s="39">
        <v>218494</v>
      </c>
      <c r="D2" s="39">
        <v>219090</v>
      </c>
      <c r="E2" s="39">
        <v>30</v>
      </c>
      <c r="F2" s="39">
        <v>1532497</v>
      </c>
      <c r="H2" s="28" t="s">
        <v>269</v>
      </c>
    </row>
    <row r="3" spans="1:19" x14ac:dyDescent="0.25">
      <c r="A3" s="38">
        <v>40575</v>
      </c>
      <c r="B3" s="39">
        <v>31511</v>
      </c>
      <c r="C3" s="39">
        <v>228691</v>
      </c>
      <c r="D3" s="39">
        <v>233054</v>
      </c>
      <c r="E3" s="39">
        <v>32</v>
      </c>
      <c r="F3" s="39">
        <v>1593755</v>
      </c>
      <c r="I3" s="28" t="s">
        <v>263</v>
      </c>
      <c r="J3" s="28" t="s">
        <v>264</v>
      </c>
      <c r="K3" s="40" t="s">
        <v>270</v>
      </c>
      <c r="L3" s="28" t="s">
        <v>271</v>
      </c>
    </row>
    <row r="4" spans="1:19" x14ac:dyDescent="0.25">
      <c r="A4" s="38">
        <v>40603</v>
      </c>
      <c r="B4" s="39">
        <v>39580</v>
      </c>
      <c r="C4" s="39">
        <v>256693</v>
      </c>
      <c r="D4" s="39">
        <v>276561</v>
      </c>
      <c r="E4" s="39">
        <v>103</v>
      </c>
      <c r="F4" s="39">
        <v>1828094</v>
      </c>
      <c r="I4" s="28">
        <f>AVERAGE(B2:B84)</f>
        <v>18970.686746987951</v>
      </c>
      <c r="J4" s="28">
        <f>AVERAGE(C2:C84)</f>
        <v>268394.3734939759</v>
      </c>
      <c r="K4" s="28">
        <f>AVERAGE(D2:D84)</f>
        <v>266096.63855421689</v>
      </c>
      <c r="L4" s="28">
        <f>AVERAGE(E2:E84)</f>
        <v>86.083333333333329</v>
      </c>
    </row>
    <row r="5" spans="1:19" x14ac:dyDescent="0.25">
      <c r="A5" s="38">
        <v>40634</v>
      </c>
      <c r="B5" s="39">
        <v>35286</v>
      </c>
      <c r="C5" s="39">
        <v>228348</v>
      </c>
      <c r="D5" s="39">
        <v>264373</v>
      </c>
      <c r="E5" s="39">
        <v>81</v>
      </c>
      <c r="F5" s="39">
        <v>1657261</v>
      </c>
    </row>
    <row r="6" spans="1:19" x14ac:dyDescent="0.25">
      <c r="A6" s="38">
        <v>40664</v>
      </c>
      <c r="B6" s="39">
        <v>38595</v>
      </c>
      <c r="C6" s="39">
        <v>285239</v>
      </c>
      <c r="D6" s="39">
        <v>303535</v>
      </c>
      <c r="E6" s="39">
        <v>121</v>
      </c>
      <c r="F6" s="39">
        <v>1964151</v>
      </c>
      <c r="H6" s="28" t="s">
        <v>272</v>
      </c>
      <c r="N6" s="29" t="s">
        <v>273</v>
      </c>
    </row>
    <row r="7" spans="1:19" x14ac:dyDescent="0.25">
      <c r="A7" s="38">
        <v>40695</v>
      </c>
      <c r="B7" s="39">
        <v>36284</v>
      </c>
      <c r="C7" s="39">
        <v>256816</v>
      </c>
      <c r="D7" s="39">
        <v>268031</v>
      </c>
      <c r="E7" s="39">
        <v>110</v>
      </c>
      <c r="F7" s="39">
        <v>1718907</v>
      </c>
      <c r="I7" s="28" t="s">
        <v>263</v>
      </c>
      <c r="J7" s="28" t="s">
        <v>264</v>
      </c>
      <c r="K7" s="40" t="s">
        <v>270</v>
      </c>
      <c r="L7" s="28" t="s">
        <v>271</v>
      </c>
      <c r="O7" s="29" t="s">
        <v>263</v>
      </c>
      <c r="P7" s="28" t="s">
        <v>264</v>
      </c>
      <c r="Q7" s="40" t="s">
        <v>270</v>
      </c>
      <c r="R7" s="28" t="s">
        <v>271</v>
      </c>
    </row>
    <row r="8" spans="1:19" x14ac:dyDescent="0.25">
      <c r="A8" s="38">
        <v>40725</v>
      </c>
      <c r="B8" s="39">
        <v>36484</v>
      </c>
      <c r="C8" s="39">
        <v>234425</v>
      </c>
      <c r="D8" s="39">
        <v>252451</v>
      </c>
      <c r="E8" s="39">
        <v>95</v>
      </c>
      <c r="F8" s="39">
        <v>1686589</v>
      </c>
      <c r="H8" s="28" t="s">
        <v>263</v>
      </c>
      <c r="I8" s="41">
        <f>_xlfn.COVARIANCE.S($B$2:$B$84,$B$2:$B$84)</f>
        <v>266644331.68116373</v>
      </c>
      <c r="J8" s="41">
        <f>_xlfn.COVARIANCE.S($B$2:$B$84,C2:C84)</f>
        <v>-72573438.771818966</v>
      </c>
      <c r="K8" s="41">
        <f>_xlfn.COVARIANCE.S($B$2:$B$84,D2:D84)</f>
        <v>37597175.82441964</v>
      </c>
      <c r="L8" s="41">
        <f>_xlfn.COVARIANCE.S($B$2:$B$84,E2:E84)</f>
        <v>-92633.026836158213</v>
      </c>
      <c r="N8" s="29" t="s">
        <v>263</v>
      </c>
      <c r="O8" s="41">
        <f>CORREL($B$2:$B$84,$B$2:$B$84)</f>
        <v>0.99999999999999989</v>
      </c>
      <c r="P8" s="41">
        <f>CORREL($B$2:$B$84,C2:C84)</f>
        <v>-0.14811460570874938</v>
      </c>
      <c r="Q8" s="41">
        <f>CORREL($B$2:$B$84,D2:D84)</f>
        <v>7.0012819500496495E-2</v>
      </c>
      <c r="R8" s="41">
        <f>CORREL($B$2:$B$84,E2:E84)</f>
        <v>-9.8485957046881512E-2</v>
      </c>
    </row>
    <row r="9" spans="1:19" x14ac:dyDescent="0.25">
      <c r="A9" s="38">
        <v>40756</v>
      </c>
      <c r="B9" s="39">
        <v>33753</v>
      </c>
      <c r="C9" s="39">
        <v>223038</v>
      </c>
      <c r="D9" s="39">
        <v>259743</v>
      </c>
      <c r="E9" s="39">
        <v>96</v>
      </c>
      <c r="F9" s="39">
        <v>1570816</v>
      </c>
      <c r="H9" s="28" t="s">
        <v>264</v>
      </c>
      <c r="I9" s="41">
        <f>_xlfn.COVARIANCE.S($C$2:$C$84,B2:B84)</f>
        <v>-72573438.771818966</v>
      </c>
      <c r="J9" s="41">
        <f>_xlfn.COVARIANCE.S($C$2:$C$84,C2:C84)</f>
        <v>900382974.62709367</v>
      </c>
      <c r="K9" s="41">
        <f>_xlfn.COVARIANCE.S($C$2:$C$84,D2:D84)</f>
        <v>660789871.2951808</v>
      </c>
      <c r="L9" s="41">
        <f>_xlfn.COVARIANCE.S($C$2:$C$84,E2:E84)</f>
        <v>422742.07768361585</v>
      </c>
      <c r="N9" s="29" t="s">
        <v>264</v>
      </c>
      <c r="O9" s="41">
        <f>CORREL($C$2:$C$84,B2:B84)</f>
        <v>-0.14811460570874938</v>
      </c>
      <c r="P9" s="41">
        <f>CORREL($C$2:$C$84,C2:C84)</f>
        <v>1.0000000000000002</v>
      </c>
      <c r="Q9" s="41">
        <f>CORREL($C$2:$C$84,D2:D84)</f>
        <v>0.669635181046633</v>
      </c>
      <c r="R9" s="41">
        <f>CORREL($C$2:$C$84,E2:E84)</f>
        <v>0.27136111601476759</v>
      </c>
    </row>
    <row r="10" spans="1:19" x14ac:dyDescent="0.25">
      <c r="A10" s="38">
        <v>40787</v>
      </c>
      <c r="B10" s="39">
        <v>38691</v>
      </c>
      <c r="C10" s="39">
        <v>292189</v>
      </c>
      <c r="D10" s="39">
        <v>311208</v>
      </c>
      <c r="E10" s="39">
        <v>71</v>
      </c>
      <c r="F10" s="39">
        <v>1958297</v>
      </c>
      <c r="H10" s="28" t="s">
        <v>274</v>
      </c>
      <c r="I10" s="41">
        <f>_xlfn.COVARIANCE.S($D$2:$D$84,B2:B84)</f>
        <v>37597175.82441964</v>
      </c>
      <c r="J10" s="41">
        <f>_xlfn.COVARIANCE.S($D$2:$D$84,C2:C84)</f>
        <v>660789871.2951808</v>
      </c>
      <c r="K10" s="41">
        <f>_xlfn.COVARIANCE.S($D$2:$D$84,D2:D84)</f>
        <v>1081491114.7702029</v>
      </c>
      <c r="L10" s="41">
        <f>_xlfn.COVARIANCE.S($D$2:$D$84,E2:E84)</f>
        <v>656982.67655367253</v>
      </c>
      <c r="N10" s="29" t="s">
        <v>274</v>
      </c>
      <c r="O10" s="41">
        <f>CORREL($D$2:$D$84,B2:B84)</f>
        <v>7.0012819500496495E-2</v>
      </c>
      <c r="P10" s="41">
        <f>CORREL($D$2:$D$84,C2:C84)</f>
        <v>0.669635181046633</v>
      </c>
      <c r="Q10" s="41">
        <f>CORREL($D$2:$D$84,D2:D84)</f>
        <v>1</v>
      </c>
      <c r="R10" s="41">
        <f>CORREL($D$2:$D$84,E2:E84)</f>
        <v>0.39907552038663158</v>
      </c>
    </row>
    <row r="11" spans="1:19" x14ac:dyDescent="0.25">
      <c r="A11" s="38">
        <v>40817</v>
      </c>
      <c r="B11" s="39">
        <v>34669</v>
      </c>
      <c r="C11" s="39">
        <v>262724</v>
      </c>
      <c r="D11" s="39">
        <v>291307</v>
      </c>
      <c r="E11" s="39">
        <v>58</v>
      </c>
      <c r="F11" s="39">
        <v>1837919</v>
      </c>
      <c r="H11" s="28" t="s">
        <v>271</v>
      </c>
      <c r="I11" s="41">
        <f>_xlfn.COVARIANCE.S($E$2:$E$84,B2:B84)</f>
        <v>-92633.026836158213</v>
      </c>
      <c r="J11" s="41">
        <f>_xlfn.COVARIANCE.S($E$2:$E$84,C2:C84)</f>
        <v>422742.07768361585</v>
      </c>
      <c r="K11" s="41">
        <f>_xlfn.COVARIANCE.S($E$2:$E$84,D2:D84)</f>
        <v>656982.67655367253</v>
      </c>
      <c r="L11" s="41">
        <f>_xlfn.COVARIANCE.S($E$2:$E$84,E2:E84)</f>
        <v>2869.1963276836168</v>
      </c>
      <c r="N11" s="29" t="s">
        <v>271</v>
      </c>
      <c r="O11" s="41">
        <f>CORREL($E$2:$E$84,B2:B84)</f>
        <v>-9.8485957046881512E-2</v>
      </c>
      <c r="P11" s="41">
        <f>CORREL($E$2:$E$84,C2:C84)</f>
        <v>0.27136111601476759</v>
      </c>
      <c r="Q11" s="41">
        <f>CORREL($E$2:$E$84,D2:D84)</f>
        <v>0.39907552038663158</v>
      </c>
      <c r="R11" s="41">
        <f>CORREL($E$2:$E$84,E2:E84)</f>
        <v>0.99999999999999989</v>
      </c>
    </row>
    <row r="12" spans="1:19" x14ac:dyDescent="0.25">
      <c r="A12" s="38">
        <v>40848</v>
      </c>
      <c r="B12" s="39">
        <v>38567</v>
      </c>
      <c r="C12" s="39">
        <v>289564</v>
      </c>
      <c r="D12" s="39">
        <v>291096</v>
      </c>
      <c r="E12" s="39">
        <v>61</v>
      </c>
      <c r="F12" s="39">
        <v>1893208</v>
      </c>
    </row>
    <row r="13" spans="1:19" x14ac:dyDescent="0.25">
      <c r="A13" s="38">
        <v>40878</v>
      </c>
      <c r="B13" s="39">
        <v>39065</v>
      </c>
      <c r="C13" s="39">
        <v>235930</v>
      </c>
      <c r="D13" s="39">
        <v>254672</v>
      </c>
      <c r="E13" s="39">
        <v>71</v>
      </c>
      <c r="F13" s="39">
        <v>1648413</v>
      </c>
    </row>
    <row r="14" spans="1:19" x14ac:dyDescent="0.25">
      <c r="A14" s="38">
        <v>40909</v>
      </c>
      <c r="B14" s="39">
        <v>38931</v>
      </c>
      <c r="C14" s="39">
        <v>225286</v>
      </c>
      <c r="D14" s="39">
        <v>228902</v>
      </c>
      <c r="E14" s="39">
        <v>33</v>
      </c>
      <c r="F14" s="39">
        <v>1521551</v>
      </c>
      <c r="H14" s="28" t="s">
        <v>265</v>
      </c>
    </row>
    <row r="15" spans="1:19" x14ac:dyDescent="0.25">
      <c r="A15" s="38">
        <v>40940</v>
      </c>
      <c r="B15" s="39">
        <v>35507</v>
      </c>
      <c r="C15" s="39">
        <v>227284</v>
      </c>
      <c r="D15" s="39">
        <v>208744</v>
      </c>
      <c r="E15" s="39">
        <v>32</v>
      </c>
      <c r="F15" s="39">
        <v>1567581</v>
      </c>
    </row>
    <row r="16" spans="1:19" x14ac:dyDescent="0.25">
      <c r="A16" s="38">
        <v>40969</v>
      </c>
      <c r="B16" s="39">
        <v>38184</v>
      </c>
      <c r="C16" s="39">
        <v>272051</v>
      </c>
      <c r="D16" s="39">
        <v>267531</v>
      </c>
      <c r="E16" s="39">
        <v>91</v>
      </c>
      <c r="F16" s="39">
        <v>1828653</v>
      </c>
      <c r="I16" s="42" t="s">
        <v>263</v>
      </c>
      <c r="J16" s="42" t="s">
        <v>264</v>
      </c>
      <c r="K16" s="43" t="s">
        <v>270</v>
      </c>
      <c r="L16" s="42" t="s">
        <v>271</v>
      </c>
      <c r="M16" s="42" t="s">
        <v>275</v>
      </c>
      <c r="N16" s="44" t="s">
        <v>276</v>
      </c>
      <c r="O16" s="44" t="s">
        <v>277</v>
      </c>
    </row>
    <row r="17" spans="1:15" x14ac:dyDescent="0.25">
      <c r="A17" s="38">
        <v>41000</v>
      </c>
      <c r="B17" s="39">
        <v>36301</v>
      </c>
      <c r="C17" s="39">
        <v>238359</v>
      </c>
      <c r="D17" s="39">
        <v>254446</v>
      </c>
      <c r="E17" s="39">
        <v>86</v>
      </c>
      <c r="F17" s="39">
        <v>1633770</v>
      </c>
      <c r="I17" s="45">
        <v>1</v>
      </c>
      <c r="J17" s="45">
        <v>0</v>
      </c>
      <c r="K17" s="45">
        <v>0</v>
      </c>
      <c r="L17" s="45">
        <v>0</v>
      </c>
      <c r="M17" s="42">
        <f>SUM(I17:L17)</f>
        <v>1</v>
      </c>
      <c r="N17" s="44">
        <f t="shared" ref="N17:N57" si="0">MMULT(I17:L17,TRANSPOSE(MMULT(I17:L17,$I$8:$L$11)))</f>
        <v>266644331.68116373</v>
      </c>
      <c r="O17" s="44">
        <f t="shared" ref="O17:O57" si="1">SUMPRODUCT(I17:L17,$I$4:$L$4)</f>
        <v>18970.686746987951</v>
      </c>
    </row>
    <row r="18" spans="1:15" x14ac:dyDescent="0.25">
      <c r="A18" s="38">
        <v>41030</v>
      </c>
      <c r="B18" s="39">
        <v>36379</v>
      </c>
      <c r="C18" s="39">
        <v>274210</v>
      </c>
      <c r="D18" s="39">
        <v>281132</v>
      </c>
      <c r="E18" s="39">
        <v>181</v>
      </c>
      <c r="F18" s="39">
        <v>1817490</v>
      </c>
      <c r="I18" s="45">
        <v>0.9</v>
      </c>
      <c r="J18" s="45">
        <v>0.1</v>
      </c>
      <c r="K18" s="45">
        <v>0</v>
      </c>
      <c r="L18" s="45">
        <v>0</v>
      </c>
      <c r="M18" s="42">
        <f t="shared" ref="M18:M57" si="2">SUM(I18:L18)</f>
        <v>1</v>
      </c>
      <c r="N18" s="44">
        <f t="shared" si="0"/>
        <v>211922519.42908618</v>
      </c>
      <c r="O18" s="44">
        <f t="shared" si="1"/>
        <v>43913.055421686746</v>
      </c>
    </row>
    <row r="19" spans="1:15" x14ac:dyDescent="0.25">
      <c r="A19" s="38">
        <v>41061</v>
      </c>
      <c r="B19" s="39">
        <v>34472</v>
      </c>
      <c r="C19" s="39">
        <v>265254</v>
      </c>
      <c r="D19" s="39">
        <v>276428</v>
      </c>
      <c r="E19" s="39">
        <v>85</v>
      </c>
      <c r="F19" s="39">
        <v>1715458</v>
      </c>
      <c r="I19" s="45">
        <v>0.8</v>
      </c>
      <c r="J19" s="45">
        <v>0.2</v>
      </c>
      <c r="K19" s="45">
        <v>0</v>
      </c>
      <c r="L19" s="45">
        <v>0</v>
      </c>
      <c r="M19" s="42">
        <f t="shared" si="2"/>
        <v>1</v>
      </c>
      <c r="N19" s="44">
        <f t="shared" si="0"/>
        <v>183444190.85404646</v>
      </c>
      <c r="O19" s="44">
        <f t="shared" si="1"/>
        <v>68855.424096385541</v>
      </c>
    </row>
    <row r="20" spans="1:15" x14ac:dyDescent="0.25">
      <c r="A20" s="38">
        <v>41091</v>
      </c>
      <c r="B20" s="39">
        <v>31160</v>
      </c>
      <c r="C20" s="39">
        <v>218571</v>
      </c>
      <c r="D20" s="39">
        <v>242895</v>
      </c>
      <c r="E20" s="39">
        <v>73</v>
      </c>
      <c r="F20" s="39">
        <v>1578116</v>
      </c>
      <c r="I20" s="45">
        <v>0.7</v>
      </c>
      <c r="J20" s="45">
        <v>0.3</v>
      </c>
      <c r="K20" s="45">
        <v>0</v>
      </c>
      <c r="L20" s="45">
        <v>0</v>
      </c>
      <c r="M20" s="42">
        <f t="shared" si="2"/>
        <v>1</v>
      </c>
      <c r="N20" s="44">
        <f t="shared" si="0"/>
        <v>181209345.95604467</v>
      </c>
      <c r="O20" s="44">
        <f t="shared" si="1"/>
        <v>93797.792771084321</v>
      </c>
    </row>
    <row r="21" spans="1:15" x14ac:dyDescent="0.25">
      <c r="A21" s="38">
        <v>41122</v>
      </c>
      <c r="B21" s="39">
        <v>33209</v>
      </c>
      <c r="C21" s="39">
        <v>230663</v>
      </c>
      <c r="D21" s="39">
        <v>250219</v>
      </c>
      <c r="E21" s="39">
        <v>188</v>
      </c>
      <c r="F21" s="39">
        <v>1529049</v>
      </c>
      <c r="I21" s="45">
        <v>0.6</v>
      </c>
      <c r="J21" s="45">
        <v>0.4</v>
      </c>
      <c r="K21" s="45">
        <v>0</v>
      </c>
      <c r="L21" s="45">
        <v>0</v>
      </c>
      <c r="M21" s="42">
        <f t="shared" si="2"/>
        <v>1</v>
      </c>
      <c r="N21" s="44">
        <f t="shared" si="0"/>
        <v>205217984.73508084</v>
      </c>
      <c r="O21" s="44">
        <f t="shared" si="1"/>
        <v>118740.16144578313</v>
      </c>
    </row>
    <row r="22" spans="1:15" x14ac:dyDescent="0.25">
      <c r="A22" s="38">
        <v>41153</v>
      </c>
      <c r="B22" s="39">
        <v>36066</v>
      </c>
      <c r="C22" s="39">
        <v>276216</v>
      </c>
      <c r="D22" s="39">
        <v>278584</v>
      </c>
      <c r="E22" s="39">
        <v>104</v>
      </c>
      <c r="F22" s="39">
        <v>1782727</v>
      </c>
      <c r="I22" s="45">
        <v>0.5</v>
      </c>
      <c r="J22" s="45">
        <v>0.5</v>
      </c>
      <c r="K22" s="45">
        <v>0</v>
      </c>
      <c r="L22" s="45">
        <v>0</v>
      </c>
      <c r="M22" s="42">
        <f t="shared" si="2"/>
        <v>1</v>
      </c>
      <c r="N22" s="44">
        <f t="shared" si="0"/>
        <v>255470107.19115487</v>
      </c>
      <c r="O22" s="44">
        <f t="shared" si="1"/>
        <v>143682.53012048191</v>
      </c>
    </row>
    <row r="23" spans="1:15" x14ac:dyDescent="0.25">
      <c r="A23" s="38">
        <v>41183</v>
      </c>
      <c r="B23" s="39">
        <v>29062</v>
      </c>
      <c r="C23" s="39">
        <v>272795</v>
      </c>
      <c r="D23" s="39">
        <v>278661</v>
      </c>
      <c r="E23" s="39">
        <v>50</v>
      </c>
      <c r="F23" s="39">
        <v>1841763</v>
      </c>
      <c r="I23" s="45">
        <v>0.4</v>
      </c>
      <c r="J23" s="45">
        <v>0.6</v>
      </c>
      <c r="K23" s="45">
        <v>0</v>
      </c>
      <c r="L23" s="45">
        <v>0</v>
      </c>
      <c r="M23" s="42">
        <f t="shared" si="2"/>
        <v>1</v>
      </c>
      <c r="N23" s="44">
        <f t="shared" si="0"/>
        <v>331965713.32426679</v>
      </c>
      <c r="O23" s="44">
        <f t="shared" si="1"/>
        <v>168624.89879518069</v>
      </c>
    </row>
    <row r="24" spans="1:15" x14ac:dyDescent="0.25">
      <c r="A24" s="38">
        <v>41214</v>
      </c>
      <c r="B24" s="39">
        <v>1902</v>
      </c>
      <c r="C24" s="39">
        <v>312568</v>
      </c>
      <c r="D24" s="39">
        <v>267080</v>
      </c>
      <c r="E24" s="39">
        <v>53</v>
      </c>
      <c r="F24" s="39">
        <v>1796146</v>
      </c>
      <c r="I24" s="45">
        <v>0.3</v>
      </c>
      <c r="J24" s="45">
        <v>0.7</v>
      </c>
      <c r="K24" s="45">
        <v>0</v>
      </c>
      <c r="L24" s="45">
        <v>0</v>
      </c>
      <c r="M24" s="42">
        <f t="shared" si="2"/>
        <v>1</v>
      </c>
      <c r="N24" s="44">
        <f t="shared" si="0"/>
        <v>434704803.13441658</v>
      </c>
      <c r="O24" s="44">
        <f t="shared" si="1"/>
        <v>193567.2674698795</v>
      </c>
    </row>
    <row r="25" spans="1:15" x14ac:dyDescent="0.25">
      <c r="A25" s="38">
        <v>41244</v>
      </c>
      <c r="B25" s="39">
        <v>703</v>
      </c>
      <c r="C25" s="39">
        <v>233456</v>
      </c>
      <c r="D25" s="39">
        <v>213961</v>
      </c>
      <c r="E25" s="39">
        <v>14</v>
      </c>
      <c r="F25" s="39">
        <v>1429815</v>
      </c>
      <c r="I25" s="45">
        <v>0.2</v>
      </c>
      <c r="J25" s="45">
        <v>0.8</v>
      </c>
      <c r="K25" s="45">
        <v>0</v>
      </c>
      <c r="L25" s="45">
        <v>0</v>
      </c>
      <c r="M25" s="42">
        <f t="shared" si="2"/>
        <v>1</v>
      </c>
      <c r="N25" s="44">
        <f t="shared" si="0"/>
        <v>563687376.62160444</v>
      </c>
      <c r="O25" s="44">
        <f t="shared" si="1"/>
        <v>218509.63614457831</v>
      </c>
    </row>
    <row r="26" spans="1:15" x14ac:dyDescent="0.25">
      <c r="A26" s="38">
        <v>41275</v>
      </c>
      <c r="B26" s="39">
        <v>316</v>
      </c>
      <c r="C26" s="39">
        <v>238175</v>
      </c>
      <c r="D26" s="39">
        <v>203812</v>
      </c>
      <c r="E26" s="39">
        <v>79</v>
      </c>
      <c r="F26" s="39">
        <v>1379339</v>
      </c>
      <c r="I26" s="45">
        <v>0.1</v>
      </c>
      <c r="J26" s="45">
        <v>0.9</v>
      </c>
      <c r="K26" s="45">
        <v>0</v>
      </c>
      <c r="L26" s="45">
        <v>0</v>
      </c>
      <c r="M26" s="42">
        <f t="shared" si="2"/>
        <v>1</v>
      </c>
      <c r="N26" s="44">
        <f t="shared" si="0"/>
        <v>718913433.78583014</v>
      </c>
      <c r="O26" s="44">
        <f t="shared" si="1"/>
        <v>243452.00481927712</v>
      </c>
    </row>
    <row r="27" spans="1:15" x14ac:dyDescent="0.25">
      <c r="A27" s="38">
        <v>41306</v>
      </c>
      <c r="B27" s="39">
        <v>187</v>
      </c>
      <c r="C27" s="39">
        <v>237182</v>
      </c>
      <c r="D27" s="39">
        <v>209700</v>
      </c>
      <c r="E27" s="39">
        <v>156</v>
      </c>
      <c r="F27" s="39">
        <v>1388196</v>
      </c>
      <c r="I27" s="45">
        <v>0</v>
      </c>
      <c r="J27" s="45">
        <v>1</v>
      </c>
      <c r="K27" s="45">
        <v>0</v>
      </c>
      <c r="L27" s="45">
        <v>0</v>
      </c>
      <c r="M27" s="42">
        <f t="shared" si="2"/>
        <v>1</v>
      </c>
      <c r="N27" s="44">
        <f t="shared" si="0"/>
        <v>900382974.62709367</v>
      </c>
      <c r="O27" s="44">
        <f t="shared" si="1"/>
        <v>268394.3734939759</v>
      </c>
    </row>
    <row r="28" spans="1:15" x14ac:dyDescent="0.25">
      <c r="A28" s="38">
        <v>41334</v>
      </c>
      <c r="B28" s="39">
        <v>214</v>
      </c>
      <c r="C28" s="39">
        <v>268118</v>
      </c>
      <c r="D28" s="39">
        <v>241615</v>
      </c>
      <c r="E28" s="39">
        <v>85</v>
      </c>
      <c r="F28" s="39">
        <v>1563983</v>
      </c>
      <c r="I28" s="39">
        <v>0</v>
      </c>
      <c r="J28" s="39">
        <v>0.9</v>
      </c>
      <c r="K28" s="39">
        <v>0.1</v>
      </c>
      <c r="L28" s="39">
        <v>0</v>
      </c>
      <c r="M28" s="28">
        <f t="shared" si="2"/>
        <v>1</v>
      </c>
      <c r="N28" s="29">
        <f t="shared" si="0"/>
        <v>859067297.42878056</v>
      </c>
      <c r="O28" s="29">
        <f t="shared" si="1"/>
        <v>268164.60000000003</v>
      </c>
    </row>
    <row r="29" spans="1:15" x14ac:dyDescent="0.25">
      <c r="A29" s="38">
        <v>41365</v>
      </c>
      <c r="B29" s="39">
        <v>365</v>
      </c>
      <c r="C29" s="39">
        <v>281337</v>
      </c>
      <c r="D29" s="39">
        <v>259381</v>
      </c>
      <c r="E29" s="39">
        <v>146</v>
      </c>
      <c r="F29" s="39">
        <v>1675201</v>
      </c>
      <c r="I29" s="39">
        <v>0</v>
      </c>
      <c r="J29" s="39">
        <v>0.8</v>
      </c>
      <c r="K29" s="39">
        <v>0.2</v>
      </c>
      <c r="L29" s="39">
        <v>0</v>
      </c>
      <c r="M29" s="28">
        <f t="shared" si="2"/>
        <v>1</v>
      </c>
      <c r="N29" s="29">
        <f t="shared" si="0"/>
        <v>830957507.16660607</v>
      </c>
      <c r="O29" s="29">
        <f t="shared" si="1"/>
        <v>267934.82650602411</v>
      </c>
    </row>
    <row r="30" spans="1:15" x14ac:dyDescent="0.25">
      <c r="A30" s="38">
        <v>41395</v>
      </c>
      <c r="B30" s="39">
        <v>407</v>
      </c>
      <c r="C30" s="39">
        <v>260012</v>
      </c>
      <c r="D30" s="39">
        <v>262159</v>
      </c>
      <c r="E30" s="39">
        <v>100</v>
      </c>
      <c r="F30" s="39">
        <v>1597700</v>
      </c>
      <c r="I30" s="39">
        <v>0</v>
      </c>
      <c r="J30" s="39">
        <v>0.7</v>
      </c>
      <c r="K30" s="39">
        <v>0.3</v>
      </c>
      <c r="L30" s="39">
        <v>0</v>
      </c>
      <c r="M30" s="28">
        <f t="shared" si="2"/>
        <v>1</v>
      </c>
      <c r="N30" s="29">
        <f t="shared" si="0"/>
        <v>816053603.84056997</v>
      </c>
      <c r="O30" s="29">
        <f t="shared" si="1"/>
        <v>267705.05301204819</v>
      </c>
    </row>
    <row r="31" spans="1:15" x14ac:dyDescent="0.25">
      <c r="A31" s="38">
        <v>41426</v>
      </c>
      <c r="B31" s="39">
        <v>756</v>
      </c>
      <c r="C31" s="39">
        <v>308009</v>
      </c>
      <c r="D31" s="39">
        <v>275676</v>
      </c>
      <c r="E31" s="39">
        <v>114</v>
      </c>
      <c r="F31" s="39">
        <v>1725396</v>
      </c>
      <c r="I31" s="39">
        <v>0</v>
      </c>
      <c r="J31" s="39">
        <v>0.6</v>
      </c>
      <c r="K31" s="39">
        <v>0.4</v>
      </c>
      <c r="L31" s="39">
        <v>0</v>
      </c>
      <c r="M31" s="28">
        <f t="shared" si="2"/>
        <v>1</v>
      </c>
      <c r="N31" s="29">
        <f t="shared" si="0"/>
        <v>814355587.4506731</v>
      </c>
      <c r="O31" s="29">
        <f t="shared" si="1"/>
        <v>267475.27951807226</v>
      </c>
    </row>
    <row r="32" spans="1:15" x14ac:dyDescent="0.25">
      <c r="A32" s="38">
        <v>41456</v>
      </c>
      <c r="B32" s="39">
        <v>502</v>
      </c>
      <c r="C32" s="39">
        <v>246961</v>
      </c>
      <c r="D32" s="39">
        <v>264248</v>
      </c>
      <c r="E32" s="39">
        <v>99</v>
      </c>
      <c r="F32" s="39">
        <v>1594690</v>
      </c>
      <c r="I32" s="39">
        <v>0</v>
      </c>
      <c r="J32" s="39">
        <v>0.5</v>
      </c>
      <c r="K32" s="39">
        <v>0.5</v>
      </c>
      <c r="L32" s="39">
        <v>0</v>
      </c>
      <c r="M32" s="28">
        <f t="shared" si="2"/>
        <v>1</v>
      </c>
      <c r="N32" s="29">
        <f t="shared" si="0"/>
        <v>825863457.99691463</v>
      </c>
      <c r="O32" s="29">
        <f t="shared" si="1"/>
        <v>267245.50602409639</v>
      </c>
    </row>
    <row r="33" spans="1:15" x14ac:dyDescent="0.25">
      <c r="A33" s="38">
        <v>41487</v>
      </c>
      <c r="B33" s="39">
        <v>587</v>
      </c>
      <c r="C33" s="39">
        <v>245593</v>
      </c>
      <c r="D33" s="39">
        <v>253069</v>
      </c>
      <c r="E33" s="39">
        <v>70</v>
      </c>
      <c r="F33" s="39">
        <v>1438169</v>
      </c>
      <c r="I33" s="39">
        <v>0</v>
      </c>
      <c r="J33" s="39">
        <v>0.4</v>
      </c>
      <c r="K33" s="39">
        <v>0.6</v>
      </c>
      <c r="L33" s="39">
        <v>0</v>
      </c>
      <c r="M33" s="28">
        <f t="shared" si="2"/>
        <v>1</v>
      </c>
      <c r="N33" s="29">
        <f t="shared" si="0"/>
        <v>850577215.47929478</v>
      </c>
      <c r="O33" s="29">
        <f t="shared" si="1"/>
        <v>267015.73253012047</v>
      </c>
    </row>
    <row r="34" spans="1:15" x14ac:dyDescent="0.25">
      <c r="A34" s="38">
        <v>41518</v>
      </c>
      <c r="B34" s="39">
        <v>578</v>
      </c>
      <c r="C34" s="39">
        <v>309197</v>
      </c>
      <c r="D34" s="39">
        <v>294498</v>
      </c>
      <c r="E34" s="39">
        <v>80</v>
      </c>
      <c r="F34" s="39">
        <v>1769424</v>
      </c>
      <c r="I34" s="39">
        <v>0</v>
      </c>
      <c r="J34" s="39">
        <v>0.3</v>
      </c>
      <c r="K34" s="39">
        <v>0.7</v>
      </c>
      <c r="L34" s="39">
        <v>0</v>
      </c>
      <c r="M34" s="28">
        <f t="shared" si="2"/>
        <v>1</v>
      </c>
      <c r="N34" s="29">
        <f t="shared" si="0"/>
        <v>888496859.89781368</v>
      </c>
      <c r="O34" s="29">
        <f t="shared" si="1"/>
        <v>266785.95903614454</v>
      </c>
    </row>
    <row r="35" spans="1:15" x14ac:dyDescent="0.25">
      <c r="A35" s="38">
        <v>41548</v>
      </c>
      <c r="B35" s="39">
        <v>390</v>
      </c>
      <c r="C35" s="39">
        <v>290275</v>
      </c>
      <c r="D35" s="39">
        <v>290431</v>
      </c>
      <c r="E35" s="39">
        <v>56</v>
      </c>
      <c r="F35" s="39">
        <v>1770207</v>
      </c>
      <c r="I35" s="39">
        <v>0</v>
      </c>
      <c r="J35" s="39">
        <v>0.2</v>
      </c>
      <c r="K35" s="39">
        <v>0.8</v>
      </c>
      <c r="L35" s="39">
        <v>0</v>
      </c>
      <c r="M35" s="28">
        <f t="shared" si="2"/>
        <v>1</v>
      </c>
      <c r="N35" s="29">
        <f t="shared" si="0"/>
        <v>939622391.25247157</v>
      </c>
      <c r="O35" s="29">
        <f t="shared" si="1"/>
        <v>266556.18554216874</v>
      </c>
    </row>
    <row r="36" spans="1:15" x14ac:dyDescent="0.25">
      <c r="A36" s="38">
        <v>41579</v>
      </c>
      <c r="B36" s="39">
        <v>288</v>
      </c>
      <c r="C36" s="39">
        <v>306498</v>
      </c>
      <c r="D36" s="39">
        <v>274198</v>
      </c>
      <c r="E36" s="39">
        <v>68</v>
      </c>
      <c r="F36" s="39">
        <v>1711182</v>
      </c>
      <c r="I36" s="39">
        <v>0</v>
      </c>
      <c r="J36" s="39">
        <v>0.1</v>
      </c>
      <c r="K36" s="39">
        <v>0.9</v>
      </c>
      <c r="L36" s="39">
        <v>0</v>
      </c>
      <c r="M36" s="28">
        <f t="shared" si="2"/>
        <v>1</v>
      </c>
      <c r="N36" s="29">
        <f t="shared" si="0"/>
        <v>1003953809.5432678</v>
      </c>
      <c r="O36" s="29">
        <f t="shared" si="1"/>
        <v>266326.41204819281</v>
      </c>
    </row>
    <row r="37" spans="1:15" x14ac:dyDescent="0.25">
      <c r="A37" s="38">
        <v>41609</v>
      </c>
      <c r="B37" s="39">
        <v>189</v>
      </c>
      <c r="C37" s="39">
        <v>243648</v>
      </c>
      <c r="D37" s="39">
        <v>225507</v>
      </c>
      <c r="E37" s="39">
        <v>35</v>
      </c>
      <c r="F37" s="39">
        <v>1414073</v>
      </c>
      <c r="I37" s="39">
        <v>0</v>
      </c>
      <c r="J37" s="39">
        <v>0</v>
      </c>
      <c r="K37" s="39">
        <v>1</v>
      </c>
      <c r="L37" s="39">
        <v>0</v>
      </c>
      <c r="M37" s="28">
        <f t="shared" si="2"/>
        <v>1</v>
      </c>
      <c r="N37" s="29">
        <f t="shared" si="0"/>
        <v>1081491114.7702029</v>
      </c>
      <c r="O37" s="29">
        <f t="shared" si="1"/>
        <v>266096.63855421689</v>
      </c>
    </row>
    <row r="38" spans="1:15" x14ac:dyDescent="0.25">
      <c r="A38" s="38">
        <v>41640</v>
      </c>
      <c r="B38" s="39">
        <v>252</v>
      </c>
      <c r="C38" s="39">
        <v>252381</v>
      </c>
      <c r="D38" s="39">
        <v>217537</v>
      </c>
      <c r="E38" s="39">
        <v>26</v>
      </c>
      <c r="F38" s="39">
        <v>1402662</v>
      </c>
      <c r="I38" s="39">
        <v>0</v>
      </c>
      <c r="J38" s="39">
        <v>0</v>
      </c>
      <c r="K38" s="39">
        <v>0.9</v>
      </c>
      <c r="L38" s="39">
        <v>0.1</v>
      </c>
      <c r="M38" s="28">
        <f t="shared" si="2"/>
        <v>1</v>
      </c>
      <c r="N38" s="29">
        <f t="shared" si="0"/>
        <v>876126088.53760731</v>
      </c>
      <c r="O38" s="29">
        <f t="shared" si="1"/>
        <v>239495.58303212855</v>
      </c>
    </row>
    <row r="39" spans="1:15" x14ac:dyDescent="0.25">
      <c r="A39" s="38">
        <v>41671</v>
      </c>
      <c r="B39" s="39">
        <v>208</v>
      </c>
      <c r="C39" s="39">
        <v>254012</v>
      </c>
      <c r="D39" s="39">
        <v>214822</v>
      </c>
      <c r="E39" s="39">
        <v>61</v>
      </c>
      <c r="F39" s="39">
        <v>1466353</v>
      </c>
      <c r="I39" s="39">
        <v>0</v>
      </c>
      <c r="J39" s="39">
        <v>0</v>
      </c>
      <c r="K39" s="39">
        <v>0.8</v>
      </c>
      <c r="L39" s="39">
        <v>0.2</v>
      </c>
      <c r="M39" s="28">
        <f t="shared" si="2"/>
        <v>1</v>
      </c>
      <c r="N39" s="29">
        <f t="shared" si="0"/>
        <v>692364662.67728031</v>
      </c>
      <c r="O39" s="29">
        <f t="shared" si="1"/>
        <v>212894.52751004021</v>
      </c>
    </row>
    <row r="40" spans="1:15" x14ac:dyDescent="0.25">
      <c r="A40" s="38">
        <v>41699</v>
      </c>
      <c r="B40" s="39">
        <v>258</v>
      </c>
      <c r="C40" s="39">
        <v>281927</v>
      </c>
      <c r="D40" s="39">
        <v>259096</v>
      </c>
      <c r="E40" s="39">
        <v>47</v>
      </c>
      <c r="F40" s="39">
        <v>1625736</v>
      </c>
      <c r="I40" s="39">
        <v>0</v>
      </c>
      <c r="J40" s="39">
        <v>0</v>
      </c>
      <c r="K40" s="39">
        <v>0.7</v>
      </c>
      <c r="L40" s="39">
        <v>0.3</v>
      </c>
      <c r="M40" s="28">
        <f t="shared" si="2"/>
        <v>1</v>
      </c>
      <c r="N40" s="29">
        <f t="shared" si="0"/>
        <v>530206837.18922138</v>
      </c>
      <c r="O40" s="29">
        <f t="shared" si="1"/>
        <v>186293.47198795181</v>
      </c>
    </row>
    <row r="41" spans="1:15" x14ac:dyDescent="0.25">
      <c r="A41" s="38">
        <v>41730</v>
      </c>
      <c r="B41" s="39">
        <v>214</v>
      </c>
      <c r="C41" s="39">
        <v>256965</v>
      </c>
      <c r="D41" s="39">
        <v>232842</v>
      </c>
      <c r="E41" s="39">
        <v>75</v>
      </c>
      <c r="F41" s="39">
        <v>1474414</v>
      </c>
      <c r="I41" s="39">
        <v>0</v>
      </c>
      <c r="J41" s="39">
        <v>0</v>
      </c>
      <c r="K41" s="39">
        <v>0.6</v>
      </c>
      <c r="L41" s="39">
        <v>0.4</v>
      </c>
      <c r="M41" s="28">
        <f t="shared" si="2"/>
        <v>1</v>
      </c>
      <c r="N41" s="29">
        <f t="shared" si="0"/>
        <v>389652612.07343125</v>
      </c>
      <c r="O41" s="29">
        <f t="shared" si="1"/>
        <v>159692.41646586344</v>
      </c>
    </row>
    <row r="42" spans="1:15" x14ac:dyDescent="0.25">
      <c r="A42" s="38">
        <v>41760</v>
      </c>
      <c r="B42" s="39">
        <v>1090</v>
      </c>
      <c r="C42" s="39">
        <v>306552</v>
      </c>
      <c r="D42" s="39">
        <v>291022</v>
      </c>
      <c r="E42" s="39">
        <v>81</v>
      </c>
      <c r="F42" s="39">
        <v>1757802</v>
      </c>
      <c r="I42" s="39">
        <v>0</v>
      </c>
      <c r="J42" s="39">
        <v>0</v>
      </c>
      <c r="K42" s="39">
        <v>0.5</v>
      </c>
      <c r="L42" s="39">
        <v>0.5</v>
      </c>
      <c r="M42" s="28">
        <f t="shared" si="2"/>
        <v>1</v>
      </c>
      <c r="N42" s="29">
        <f t="shared" si="0"/>
        <v>270701987.3299095</v>
      </c>
      <c r="O42" s="29">
        <f t="shared" si="1"/>
        <v>133091.3609437751</v>
      </c>
    </row>
    <row r="43" spans="1:15" x14ac:dyDescent="0.25">
      <c r="A43" s="38">
        <v>41791</v>
      </c>
      <c r="B43" s="39">
        <v>730</v>
      </c>
      <c r="C43" s="39">
        <v>295952</v>
      </c>
      <c r="D43" s="39">
        <v>287209</v>
      </c>
      <c r="E43" s="39">
        <v>98</v>
      </c>
      <c r="F43" s="39">
        <v>1684162</v>
      </c>
      <c r="I43" s="39">
        <v>0</v>
      </c>
      <c r="J43" s="39">
        <v>0</v>
      </c>
      <c r="K43" s="39">
        <v>0.4</v>
      </c>
      <c r="L43" s="39">
        <v>0.6</v>
      </c>
      <c r="M43" s="28">
        <f t="shared" si="2"/>
        <v>1</v>
      </c>
      <c r="N43" s="29">
        <f t="shared" si="0"/>
        <v>173354962.95865619</v>
      </c>
      <c r="O43" s="29">
        <f t="shared" si="1"/>
        <v>106490.30542168676</v>
      </c>
    </row>
    <row r="44" spans="1:15" x14ac:dyDescent="0.25">
      <c r="A44" s="38">
        <v>41821</v>
      </c>
      <c r="B44" s="39">
        <v>575</v>
      </c>
      <c r="C44" s="39">
        <v>269979</v>
      </c>
      <c r="D44" s="39">
        <v>265306</v>
      </c>
      <c r="E44" s="39">
        <v>156</v>
      </c>
      <c r="F44" s="39">
        <v>1597082</v>
      </c>
      <c r="I44" s="39">
        <v>0</v>
      </c>
      <c r="J44" s="39">
        <v>0</v>
      </c>
      <c r="K44" s="39">
        <v>0.3</v>
      </c>
      <c r="L44" s="39">
        <v>0.7</v>
      </c>
      <c r="M44" s="28">
        <f t="shared" si="2"/>
        <v>1</v>
      </c>
      <c r="N44" s="29">
        <f t="shared" si="0"/>
        <v>97611538.959671363</v>
      </c>
      <c r="O44" s="29">
        <f t="shared" si="1"/>
        <v>79889.249899598391</v>
      </c>
    </row>
    <row r="45" spans="1:15" x14ac:dyDescent="0.25">
      <c r="A45" s="38">
        <v>41852</v>
      </c>
      <c r="B45" s="39">
        <v>829</v>
      </c>
      <c r="C45" s="39">
        <v>228286</v>
      </c>
      <c r="D45" s="39">
        <v>264770</v>
      </c>
      <c r="E45" s="39">
        <v>66</v>
      </c>
      <c r="F45" s="39">
        <v>1412110</v>
      </c>
      <c r="I45" s="39">
        <v>0</v>
      </c>
      <c r="J45" s="39">
        <v>0</v>
      </c>
      <c r="K45" s="39">
        <v>0.2</v>
      </c>
      <c r="L45" s="39">
        <v>0.8</v>
      </c>
      <c r="M45" s="28">
        <f t="shared" si="2"/>
        <v>1</v>
      </c>
      <c r="N45" s="29">
        <f t="shared" si="0"/>
        <v>43471715.332955018</v>
      </c>
      <c r="O45" s="29">
        <f t="shared" si="1"/>
        <v>53288.194377510052</v>
      </c>
    </row>
    <row r="46" spans="1:15" x14ac:dyDescent="0.25">
      <c r="A46" s="38">
        <v>41883</v>
      </c>
      <c r="B46" s="39">
        <v>462</v>
      </c>
      <c r="C46" s="39">
        <v>313512</v>
      </c>
      <c r="D46" s="39">
        <v>315394</v>
      </c>
      <c r="E46" s="39">
        <v>240</v>
      </c>
      <c r="F46" s="39">
        <v>1802913</v>
      </c>
      <c r="I46" s="39">
        <v>0</v>
      </c>
      <c r="J46" s="39">
        <v>0</v>
      </c>
      <c r="K46" s="39">
        <v>0.1</v>
      </c>
      <c r="L46" s="39">
        <v>0.9</v>
      </c>
      <c r="M46" s="28">
        <f t="shared" si="2"/>
        <v>1</v>
      </c>
      <c r="N46" s="29">
        <f t="shared" si="0"/>
        <v>10935492.078507114</v>
      </c>
      <c r="O46" s="29">
        <f t="shared" si="1"/>
        <v>26687.13885542169</v>
      </c>
    </row>
    <row r="47" spans="1:15" x14ac:dyDescent="0.25">
      <c r="A47" s="38">
        <v>41913</v>
      </c>
      <c r="B47" s="39">
        <v>503</v>
      </c>
      <c r="C47" s="39">
        <v>295946</v>
      </c>
      <c r="D47" s="39">
        <v>293340</v>
      </c>
      <c r="E47" s="39">
        <v>303</v>
      </c>
      <c r="F47" s="39">
        <v>1766671</v>
      </c>
      <c r="I47" s="39">
        <v>0</v>
      </c>
      <c r="J47" s="39">
        <v>0</v>
      </c>
      <c r="K47" s="39">
        <v>0</v>
      </c>
      <c r="L47" s="39">
        <v>1</v>
      </c>
      <c r="M47" s="28">
        <f t="shared" si="2"/>
        <v>1</v>
      </c>
      <c r="N47" s="29">
        <f t="shared" si="0"/>
        <v>2869.1963276836168</v>
      </c>
      <c r="O47" s="29">
        <f t="shared" si="1"/>
        <v>86.083333333333329</v>
      </c>
    </row>
    <row r="48" spans="1:15" x14ac:dyDescent="0.25">
      <c r="A48" s="38">
        <v>41944</v>
      </c>
      <c r="B48" s="39">
        <v>420</v>
      </c>
      <c r="C48" s="39">
        <v>310511</v>
      </c>
      <c r="D48" s="39">
        <v>288060</v>
      </c>
      <c r="E48" s="39">
        <v>54</v>
      </c>
      <c r="F48" s="39">
        <v>1767140</v>
      </c>
      <c r="I48" s="39">
        <v>0.1</v>
      </c>
      <c r="J48" s="39">
        <v>0</v>
      </c>
      <c r="K48" s="39">
        <v>0</v>
      </c>
      <c r="L48" s="39">
        <v>0.9</v>
      </c>
      <c r="M48" s="28">
        <f t="shared" si="2"/>
        <v>1</v>
      </c>
      <c r="N48" s="29">
        <f t="shared" si="0"/>
        <v>2652093.4210065529</v>
      </c>
      <c r="O48" s="29">
        <f t="shared" si="1"/>
        <v>1974.543674698795</v>
      </c>
    </row>
    <row r="49" spans="1:15" x14ac:dyDescent="0.25">
      <c r="A49" s="38">
        <v>41974</v>
      </c>
      <c r="B49" s="39">
        <v>229</v>
      </c>
      <c r="C49" s="39">
        <v>248073</v>
      </c>
      <c r="D49" s="39">
        <v>215159</v>
      </c>
      <c r="E49" s="39">
        <v>17</v>
      </c>
      <c r="F49" s="39">
        <v>1434587</v>
      </c>
      <c r="I49" s="39">
        <v>0.2</v>
      </c>
      <c r="J49" s="39">
        <v>0</v>
      </c>
      <c r="K49" s="39">
        <v>0</v>
      </c>
      <c r="L49" s="39">
        <v>0.8</v>
      </c>
      <c r="M49" s="28">
        <f t="shared" si="2"/>
        <v>1</v>
      </c>
      <c r="N49" s="29">
        <f t="shared" si="0"/>
        <v>10637966.984308699</v>
      </c>
      <c r="O49" s="29">
        <f t="shared" si="1"/>
        <v>3863.004016064257</v>
      </c>
    </row>
    <row r="50" spans="1:15" x14ac:dyDescent="0.25">
      <c r="A50" s="38">
        <v>42005</v>
      </c>
      <c r="B50" s="39">
        <v>349</v>
      </c>
      <c r="C50" s="39">
        <v>242987</v>
      </c>
      <c r="D50" s="39">
        <v>215061</v>
      </c>
      <c r="E50" s="39">
        <v>22</v>
      </c>
      <c r="F50" s="39">
        <v>1359708</v>
      </c>
      <c r="I50" s="39">
        <v>0.3</v>
      </c>
      <c r="J50" s="39">
        <v>0</v>
      </c>
      <c r="K50" s="39">
        <v>0</v>
      </c>
      <c r="L50" s="39">
        <v>0.7</v>
      </c>
      <c r="M50" s="28">
        <f t="shared" si="2"/>
        <v>1</v>
      </c>
      <c r="N50" s="29">
        <f t="shared" si="0"/>
        <v>23960489.886234112</v>
      </c>
      <c r="O50" s="29">
        <f t="shared" si="1"/>
        <v>5751.4643574297179</v>
      </c>
    </row>
    <row r="51" spans="1:15" x14ac:dyDescent="0.25">
      <c r="A51" s="38">
        <v>42036</v>
      </c>
      <c r="B51" s="39">
        <v>249</v>
      </c>
      <c r="C51" s="39">
        <v>244650</v>
      </c>
      <c r="D51" s="39">
        <v>224014</v>
      </c>
      <c r="E51" s="39">
        <v>109</v>
      </c>
      <c r="F51" s="39">
        <v>1413535</v>
      </c>
      <c r="I51" s="39">
        <v>0.4</v>
      </c>
      <c r="J51" s="39">
        <v>0</v>
      </c>
      <c r="K51" s="39">
        <v>0</v>
      </c>
      <c r="L51" s="39">
        <v>0.6</v>
      </c>
      <c r="M51" s="28">
        <f t="shared" si="2"/>
        <v>1</v>
      </c>
      <c r="N51" s="29">
        <f t="shared" si="0"/>
        <v>42619662.126782812</v>
      </c>
      <c r="O51" s="29">
        <f t="shared" si="1"/>
        <v>7639.9246987951801</v>
      </c>
    </row>
    <row r="52" spans="1:15" x14ac:dyDescent="0.25">
      <c r="A52" s="38">
        <v>42064</v>
      </c>
      <c r="B52" s="39">
        <v>279</v>
      </c>
      <c r="C52" s="39">
        <v>293274</v>
      </c>
      <c r="D52" s="39">
        <v>256219</v>
      </c>
      <c r="E52" s="39">
        <v>98</v>
      </c>
      <c r="F52" s="39">
        <v>1661629</v>
      </c>
      <c r="I52" s="39">
        <v>0.5</v>
      </c>
      <c r="J52" s="39">
        <v>0</v>
      </c>
      <c r="K52" s="39">
        <v>0</v>
      </c>
      <c r="L52" s="39">
        <v>0.5</v>
      </c>
      <c r="M52" s="28">
        <f t="shared" si="2"/>
        <v>1</v>
      </c>
      <c r="N52" s="29">
        <f t="shared" si="0"/>
        <v>66615483.705954775</v>
      </c>
      <c r="O52" s="29">
        <f t="shared" si="1"/>
        <v>9528.3850401606414</v>
      </c>
    </row>
    <row r="53" spans="1:15" x14ac:dyDescent="0.25">
      <c r="A53" s="38">
        <v>42095</v>
      </c>
      <c r="B53" s="39">
        <v>580</v>
      </c>
      <c r="C53" s="39">
        <v>272165</v>
      </c>
      <c r="D53" s="39">
        <v>281140</v>
      </c>
      <c r="E53" s="39">
        <v>76</v>
      </c>
      <c r="F53" s="39">
        <v>1624778</v>
      </c>
      <c r="I53" s="39">
        <v>0.6</v>
      </c>
      <c r="J53" s="39">
        <v>0</v>
      </c>
      <c r="K53" s="39">
        <v>0</v>
      </c>
      <c r="L53" s="39">
        <v>0.4</v>
      </c>
      <c r="M53" s="28">
        <f t="shared" si="2"/>
        <v>1</v>
      </c>
      <c r="N53" s="29">
        <f t="shared" si="0"/>
        <v>95947954.623750016</v>
      </c>
      <c r="O53" s="29">
        <f t="shared" si="1"/>
        <v>11416.845381526102</v>
      </c>
    </row>
    <row r="54" spans="1:15" x14ac:dyDescent="0.25">
      <c r="A54" s="38">
        <v>42125</v>
      </c>
      <c r="B54" s="39">
        <v>604</v>
      </c>
      <c r="C54" s="39">
        <v>288142</v>
      </c>
      <c r="D54" s="39">
        <v>304174</v>
      </c>
      <c r="E54" s="39">
        <v>203</v>
      </c>
      <c r="F54" s="39">
        <v>1720404</v>
      </c>
      <c r="I54" s="39">
        <v>0.7</v>
      </c>
      <c r="J54" s="39">
        <v>0</v>
      </c>
      <c r="K54" s="39">
        <v>0</v>
      </c>
      <c r="L54" s="39">
        <v>0.3</v>
      </c>
      <c r="M54" s="28">
        <f t="shared" si="2"/>
        <v>1</v>
      </c>
      <c r="N54" s="29">
        <f t="shared" si="0"/>
        <v>130617074.88016851</v>
      </c>
      <c r="O54" s="29">
        <f t="shared" si="1"/>
        <v>13305.305722891566</v>
      </c>
    </row>
    <row r="55" spans="1:15" x14ac:dyDescent="0.25">
      <c r="A55" s="38">
        <v>42156</v>
      </c>
      <c r="B55" s="39">
        <v>753</v>
      </c>
      <c r="C55" s="39">
        <v>308261</v>
      </c>
      <c r="D55" s="39">
        <v>305063</v>
      </c>
      <c r="E55" s="39">
        <v>75</v>
      </c>
      <c r="F55" s="39">
        <v>1766274</v>
      </c>
      <c r="I55" s="39">
        <v>0.8</v>
      </c>
      <c r="J55" s="39">
        <v>0</v>
      </c>
      <c r="K55" s="39">
        <v>0</v>
      </c>
      <c r="L55" s="39">
        <v>0.2</v>
      </c>
      <c r="M55" s="28">
        <f t="shared" si="2"/>
        <v>1</v>
      </c>
      <c r="N55" s="29">
        <f t="shared" si="0"/>
        <v>170622844.47521034</v>
      </c>
      <c r="O55" s="29">
        <f t="shared" si="1"/>
        <v>15193.766064257028</v>
      </c>
    </row>
    <row r="56" spans="1:15" x14ac:dyDescent="0.25">
      <c r="A56" s="38">
        <v>42186</v>
      </c>
      <c r="B56" s="39">
        <v>451</v>
      </c>
      <c r="C56" s="39">
        <v>271800</v>
      </c>
      <c r="D56" s="39">
        <v>284753</v>
      </c>
      <c r="E56" s="39">
        <v>62</v>
      </c>
      <c r="F56" s="39">
        <v>1609452</v>
      </c>
      <c r="I56" s="39">
        <v>0.9</v>
      </c>
      <c r="J56" s="39">
        <v>0</v>
      </c>
      <c r="K56" s="39">
        <v>0</v>
      </c>
      <c r="L56" s="39">
        <v>0.1</v>
      </c>
      <c r="M56" s="28">
        <f t="shared" si="2"/>
        <v>1</v>
      </c>
      <c r="N56" s="29">
        <f t="shared" si="0"/>
        <v>215965263.40887541</v>
      </c>
      <c r="O56" s="29">
        <f t="shared" si="1"/>
        <v>17082.226405622489</v>
      </c>
    </row>
    <row r="57" spans="1:15" x14ac:dyDescent="0.25">
      <c r="A57" s="38">
        <v>42217</v>
      </c>
      <c r="B57" s="39">
        <v>416</v>
      </c>
      <c r="C57" s="39">
        <v>228447</v>
      </c>
      <c r="D57" s="39">
        <v>272711</v>
      </c>
      <c r="E57" s="39">
        <v>64</v>
      </c>
      <c r="F57" s="39">
        <v>1443064</v>
      </c>
      <c r="I57" s="39">
        <v>1</v>
      </c>
      <c r="J57" s="39">
        <v>0</v>
      </c>
      <c r="K57" s="39">
        <v>0</v>
      </c>
      <c r="L57" s="39">
        <v>0</v>
      </c>
      <c r="M57" s="28">
        <f t="shared" si="2"/>
        <v>1</v>
      </c>
      <c r="N57" s="29">
        <f t="shared" si="0"/>
        <v>266644331.68116373</v>
      </c>
      <c r="O57" s="29">
        <f t="shared" si="1"/>
        <v>18970.686746987951</v>
      </c>
    </row>
    <row r="58" spans="1:15" x14ac:dyDescent="0.25">
      <c r="A58" s="38">
        <v>42248</v>
      </c>
      <c r="B58" s="39">
        <v>18374</v>
      </c>
      <c r="C58" s="39">
        <v>310079</v>
      </c>
      <c r="D58" s="39">
        <v>307377</v>
      </c>
      <c r="E58" s="39">
        <v>75</v>
      </c>
      <c r="F58" s="39">
        <v>1811901</v>
      </c>
    </row>
    <row r="59" spans="1:15" x14ac:dyDescent="0.25">
      <c r="A59" s="38">
        <v>42278</v>
      </c>
      <c r="B59" s="39">
        <v>29233</v>
      </c>
      <c r="C59" s="39">
        <v>291771</v>
      </c>
      <c r="D59" s="39">
        <v>312719</v>
      </c>
      <c r="E59" s="39">
        <v>64</v>
      </c>
      <c r="F59" s="39">
        <v>1836448</v>
      </c>
    </row>
    <row r="60" spans="1:15" x14ac:dyDescent="0.25">
      <c r="A60" s="38">
        <v>42309</v>
      </c>
      <c r="B60" s="39">
        <v>34592</v>
      </c>
      <c r="C60" s="39">
        <v>293675</v>
      </c>
      <c r="D60" s="39">
        <v>226988</v>
      </c>
      <c r="E60" s="39">
        <v>48</v>
      </c>
      <c r="F60" s="39">
        <v>1673152</v>
      </c>
      <c r="I60" s="28" t="s">
        <v>278</v>
      </c>
    </row>
    <row r="61" spans="1:15" x14ac:dyDescent="0.25">
      <c r="A61" s="38">
        <v>42339</v>
      </c>
      <c r="B61" s="39">
        <v>35215</v>
      </c>
      <c r="C61" s="39">
        <v>244029</v>
      </c>
      <c r="D61" s="39">
        <v>226879</v>
      </c>
      <c r="E61" s="39">
        <v>38</v>
      </c>
      <c r="F61" s="39">
        <v>1498364</v>
      </c>
      <c r="I61" s="39">
        <v>0.21648008940568711</v>
      </c>
      <c r="J61" s="39">
        <v>0.54377458873534446</v>
      </c>
      <c r="K61" s="39">
        <v>0.23974532185896846</v>
      </c>
      <c r="L61" s="39">
        <v>0</v>
      </c>
      <c r="M61" s="28">
        <f t="shared" ref="M61" si="3">SUM(I61:L61)</f>
        <v>1</v>
      </c>
      <c r="N61" s="44">
        <f>MMULT(I61:L61,TRANSPOSE(MMULT(I61:L61,$I$8:$L$11)))</f>
        <v>499999999.99999982</v>
      </c>
      <c r="O61" s="44">
        <f>SUMPRODUCT(I61:L61,$I$4:$L$4)</f>
        <v>213848.24028441275</v>
      </c>
    </row>
    <row r="62" spans="1:15" x14ac:dyDescent="0.25">
      <c r="A62" s="38">
        <v>42370</v>
      </c>
      <c r="B62" s="39">
        <v>31905</v>
      </c>
      <c r="C62" s="39">
        <v>237597</v>
      </c>
      <c r="D62" s="39">
        <v>217537</v>
      </c>
      <c r="E62" s="39" t="s">
        <v>35</v>
      </c>
      <c r="F62" s="39">
        <v>1402584</v>
      </c>
    </row>
    <row r="63" spans="1:15" x14ac:dyDescent="0.25">
      <c r="A63" s="38">
        <v>42401</v>
      </c>
      <c r="B63" s="39">
        <v>33887</v>
      </c>
      <c r="C63" s="39">
        <v>249407</v>
      </c>
      <c r="D63" s="39">
        <v>232104</v>
      </c>
      <c r="E63" s="39" t="s">
        <v>35</v>
      </c>
      <c r="F63" s="39">
        <v>1536601</v>
      </c>
    </row>
    <row r="64" spans="1:15" x14ac:dyDescent="0.25">
      <c r="A64" s="38">
        <v>42430</v>
      </c>
      <c r="B64" s="39">
        <v>36078</v>
      </c>
      <c r="C64" s="39">
        <v>264135</v>
      </c>
      <c r="D64" s="39">
        <v>262638</v>
      </c>
      <c r="E64" s="39" t="s">
        <v>35</v>
      </c>
      <c r="F64" s="39">
        <v>1644189</v>
      </c>
    </row>
    <row r="65" spans="1:6" x14ac:dyDescent="0.25">
      <c r="A65" s="38">
        <v>42461</v>
      </c>
      <c r="B65" s="39">
        <v>32689</v>
      </c>
      <c r="C65" s="39">
        <v>288392</v>
      </c>
      <c r="D65" s="39">
        <v>287844</v>
      </c>
      <c r="E65" s="39" t="s">
        <v>35</v>
      </c>
      <c r="F65" s="39">
        <v>1752026</v>
      </c>
    </row>
    <row r="66" spans="1:6" x14ac:dyDescent="0.25">
      <c r="A66" s="38">
        <v>42491</v>
      </c>
      <c r="B66" s="39">
        <v>34271</v>
      </c>
      <c r="C66" s="39">
        <v>277633</v>
      </c>
      <c r="D66" s="39">
        <v>283700</v>
      </c>
      <c r="E66" s="39" t="s">
        <v>35</v>
      </c>
      <c r="F66" s="39">
        <v>1688970</v>
      </c>
    </row>
    <row r="67" spans="1:6" x14ac:dyDescent="0.25">
      <c r="A67" s="38">
        <v>42522</v>
      </c>
      <c r="B67" s="39">
        <v>33719</v>
      </c>
      <c r="C67" s="39">
        <v>329006</v>
      </c>
      <c r="D67" s="39">
        <v>300668</v>
      </c>
      <c r="E67" s="39" t="s">
        <v>35</v>
      </c>
      <c r="F67" s="39">
        <v>1891087</v>
      </c>
    </row>
    <row r="68" spans="1:6" x14ac:dyDescent="0.25">
      <c r="A68" s="38">
        <v>42552</v>
      </c>
      <c r="B68" s="39">
        <v>31395</v>
      </c>
      <c r="C68" s="39">
        <v>276065</v>
      </c>
      <c r="D68" s="39">
        <v>288686</v>
      </c>
      <c r="E68" s="39" t="s">
        <v>35</v>
      </c>
      <c r="F68" s="39">
        <v>1670529</v>
      </c>
    </row>
    <row r="69" spans="1:6" x14ac:dyDescent="0.25">
      <c r="A69" s="38">
        <v>42583</v>
      </c>
      <c r="B69" s="39">
        <v>29289</v>
      </c>
      <c r="C69" s="39">
        <v>233824</v>
      </c>
      <c r="D69" s="39">
        <v>254097</v>
      </c>
      <c r="E69" s="39" t="s">
        <v>35</v>
      </c>
      <c r="F69" s="39">
        <v>1483282</v>
      </c>
    </row>
    <row r="70" spans="1:6" x14ac:dyDescent="0.25">
      <c r="A70" s="38">
        <v>42614</v>
      </c>
      <c r="B70" s="39">
        <v>30187</v>
      </c>
      <c r="C70" s="39">
        <v>321957</v>
      </c>
      <c r="D70" s="39">
        <v>330712</v>
      </c>
      <c r="E70" s="39" t="s">
        <v>35</v>
      </c>
      <c r="F70" s="39">
        <v>1922898</v>
      </c>
    </row>
    <row r="71" spans="1:6" x14ac:dyDescent="0.25">
      <c r="A71" s="38">
        <v>42644</v>
      </c>
      <c r="B71" s="39">
        <v>29932</v>
      </c>
      <c r="C71" s="39">
        <v>276178</v>
      </c>
      <c r="D71" s="39">
        <v>308629</v>
      </c>
      <c r="E71" s="39" t="s">
        <v>35</v>
      </c>
      <c r="F71" s="39">
        <v>1767766</v>
      </c>
    </row>
    <row r="72" spans="1:6" x14ac:dyDescent="0.25">
      <c r="A72" s="38">
        <v>42675</v>
      </c>
      <c r="B72" s="39">
        <v>29222</v>
      </c>
      <c r="C72" s="39">
        <v>315904</v>
      </c>
      <c r="D72" s="39">
        <v>240794</v>
      </c>
      <c r="E72" s="39" t="s">
        <v>35</v>
      </c>
      <c r="F72" s="39">
        <v>1725185</v>
      </c>
    </row>
    <row r="73" spans="1:6" x14ac:dyDescent="0.25">
      <c r="A73" s="38">
        <v>42705</v>
      </c>
      <c r="B73" s="39">
        <v>29689</v>
      </c>
      <c r="C73" s="39">
        <v>260283</v>
      </c>
      <c r="D73" s="39">
        <v>231283</v>
      </c>
      <c r="E73" s="39" t="s">
        <v>35</v>
      </c>
      <c r="F73" s="39">
        <v>1551343</v>
      </c>
    </row>
    <row r="74" spans="1:6" x14ac:dyDescent="0.25">
      <c r="A74" s="38">
        <v>42736</v>
      </c>
      <c r="B74" s="39">
        <v>28543</v>
      </c>
      <c r="C74" s="39">
        <v>252196</v>
      </c>
      <c r="D74" s="39">
        <v>215353</v>
      </c>
      <c r="E74" s="39" t="s">
        <v>35</v>
      </c>
      <c r="F74" s="39">
        <v>1465339</v>
      </c>
    </row>
    <row r="75" spans="1:6" x14ac:dyDescent="0.25">
      <c r="A75" s="38">
        <v>42767</v>
      </c>
      <c r="B75" s="39">
        <v>26442</v>
      </c>
      <c r="C75" s="39">
        <v>243325</v>
      </c>
      <c r="D75" s="39">
        <v>233338</v>
      </c>
      <c r="E75" s="39" t="s">
        <v>35</v>
      </c>
      <c r="F75" s="39">
        <v>1490576</v>
      </c>
    </row>
    <row r="76" spans="1:6" x14ac:dyDescent="0.25">
      <c r="A76" s="38">
        <v>42795</v>
      </c>
      <c r="B76" s="39">
        <v>27058</v>
      </c>
      <c r="C76" s="39">
        <v>269458</v>
      </c>
      <c r="D76" s="39">
        <v>289154</v>
      </c>
      <c r="E76" s="39" t="s">
        <v>35</v>
      </c>
      <c r="F76" s="39">
        <v>1767409</v>
      </c>
    </row>
    <row r="77" spans="1:6" x14ac:dyDescent="0.25">
      <c r="A77" s="38">
        <v>42826</v>
      </c>
      <c r="B77" s="39">
        <v>27094</v>
      </c>
      <c r="C77" s="39">
        <v>270076</v>
      </c>
      <c r="D77" s="39">
        <v>284161</v>
      </c>
      <c r="E77" s="39" t="s">
        <v>35</v>
      </c>
      <c r="F77" s="39">
        <v>1630017</v>
      </c>
    </row>
    <row r="78" spans="1:6" x14ac:dyDescent="0.25">
      <c r="A78" s="38">
        <v>42856</v>
      </c>
      <c r="B78" s="39">
        <v>26610</v>
      </c>
      <c r="C78" s="39">
        <v>331932</v>
      </c>
      <c r="D78" s="39">
        <v>310866</v>
      </c>
      <c r="E78" s="39" t="s">
        <v>35</v>
      </c>
      <c r="F78" s="39">
        <v>1911194</v>
      </c>
    </row>
    <row r="79" spans="1:6" x14ac:dyDescent="0.25">
      <c r="A79" s="38">
        <v>42887</v>
      </c>
      <c r="B79" s="39">
        <v>25720</v>
      </c>
      <c r="C79" s="39">
        <v>318747</v>
      </c>
      <c r="D79" s="39">
        <v>301341</v>
      </c>
      <c r="E79" s="39" t="s">
        <v>35</v>
      </c>
      <c r="F79" s="39">
        <v>1781316</v>
      </c>
    </row>
    <row r="80" spans="1:6" x14ac:dyDescent="0.25">
      <c r="A80" s="38">
        <v>42917</v>
      </c>
      <c r="B80" s="39">
        <v>26272</v>
      </c>
      <c r="C80" s="39">
        <v>293590</v>
      </c>
      <c r="D80" s="39">
        <v>282466</v>
      </c>
      <c r="E80" s="39" t="s">
        <v>35</v>
      </c>
      <c r="F80" s="39">
        <v>1681147</v>
      </c>
    </row>
    <row r="81" spans="1:6" x14ac:dyDescent="0.25">
      <c r="A81" s="38">
        <v>42948</v>
      </c>
      <c r="B81" s="39">
        <v>26465</v>
      </c>
      <c r="C81" s="39">
        <v>241032</v>
      </c>
      <c r="D81" s="39">
        <v>273992</v>
      </c>
      <c r="E81" s="39" t="s">
        <v>35</v>
      </c>
      <c r="F81" s="39">
        <v>1509487</v>
      </c>
    </row>
    <row r="82" spans="1:6" x14ac:dyDescent="0.25">
      <c r="A82" s="38">
        <v>42979</v>
      </c>
      <c r="B82" s="39">
        <v>24452</v>
      </c>
      <c r="C82" s="39">
        <v>313661</v>
      </c>
      <c r="D82" s="39">
        <v>331030</v>
      </c>
      <c r="E82" s="39" t="s">
        <v>35</v>
      </c>
      <c r="F82" s="39">
        <v>1863490</v>
      </c>
    </row>
    <row r="83" spans="1:6" x14ac:dyDescent="0.25">
      <c r="A83" s="38">
        <v>43009</v>
      </c>
      <c r="B83" s="39">
        <v>24121</v>
      </c>
      <c r="C83" s="39">
        <v>264179</v>
      </c>
      <c r="D83" s="39">
        <v>316820</v>
      </c>
      <c r="E83" s="39" t="s">
        <v>35</v>
      </c>
      <c r="F83" s="39">
        <v>1696727</v>
      </c>
    </row>
    <row r="84" spans="1:6" x14ac:dyDescent="0.25">
      <c r="A84" s="38">
        <v>43040</v>
      </c>
      <c r="B84" s="39">
        <v>348</v>
      </c>
      <c r="C84" s="39">
        <v>250911</v>
      </c>
      <c r="D84" s="39">
        <v>319155</v>
      </c>
      <c r="E84" s="39" t="s">
        <v>35</v>
      </c>
      <c r="F84" s="39">
        <v>1642678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6"/>
  <sheetViews>
    <sheetView tabSelected="1" zoomScaleNormal="100" workbookViewId="0">
      <pane xSplit="2" ySplit="2" topLeftCell="C3" activePane="bottomRight" state="frozen"/>
      <selection pane="topRight"/>
      <selection pane="bottomLeft"/>
      <selection pane="bottomRight" activeCell="C2" sqref="C2"/>
    </sheetView>
  </sheetViews>
  <sheetFormatPr defaultColWidth="9.140625" defaultRowHeight="15" x14ac:dyDescent="0.25"/>
  <cols>
    <col min="1" max="1" width="9.140625" style="28"/>
    <col min="2" max="2" width="12.5703125" style="28" customWidth="1"/>
    <col min="3" max="3" width="15.42578125" style="28" customWidth="1"/>
    <col min="4" max="4" width="11.140625" style="28" customWidth="1"/>
    <col min="5" max="5" width="12.140625" style="28" hidden="1" customWidth="1"/>
    <col min="6" max="9" width="0" style="28" hidden="1" customWidth="1"/>
    <col min="10" max="10" width="9.5703125" style="53" customWidth="1"/>
    <col min="11" max="11" width="9.140625" style="53"/>
    <col min="12" max="12" width="9.140625" customWidth="1"/>
    <col min="13" max="13" width="9.28515625" style="53" customWidth="1"/>
    <col min="15" max="16" width="9.140625" style="53"/>
    <col min="17" max="16384" width="9.140625" style="28"/>
  </cols>
  <sheetData>
    <row r="1" spans="1:16" ht="15" customHeight="1" x14ac:dyDescent="0.25">
      <c r="B1" s="26" t="s">
        <v>266</v>
      </c>
      <c r="C1" s="30" t="s">
        <v>267</v>
      </c>
      <c r="D1" s="31" t="s">
        <v>2</v>
      </c>
      <c r="E1" s="31" t="s">
        <v>3</v>
      </c>
      <c r="F1" s="31" t="s">
        <v>268</v>
      </c>
      <c r="G1" s="35" t="s">
        <v>7</v>
      </c>
      <c r="N1" s="54" t="s">
        <v>347</v>
      </c>
    </row>
    <row r="2" spans="1:16" ht="30.75" thickBot="1" x14ac:dyDescent="0.3">
      <c r="B2" s="36"/>
      <c r="C2" s="37" t="s">
        <v>348</v>
      </c>
      <c r="D2" s="47" t="s">
        <v>280</v>
      </c>
      <c r="E2" s="37" t="s">
        <v>3</v>
      </c>
      <c r="F2" s="47" t="s">
        <v>281</v>
      </c>
      <c r="G2" s="47" t="s">
        <v>282</v>
      </c>
      <c r="H2" s="47" t="s">
        <v>283</v>
      </c>
      <c r="I2" s="47" t="s">
        <v>284</v>
      </c>
      <c r="J2" s="54" t="s">
        <v>281</v>
      </c>
      <c r="K2" s="54" t="s">
        <v>345</v>
      </c>
      <c r="L2" t="s">
        <v>283</v>
      </c>
      <c r="M2" s="58" t="s">
        <v>346</v>
      </c>
      <c r="N2" t="s">
        <v>349</v>
      </c>
    </row>
    <row r="3" spans="1:16" x14ac:dyDescent="0.25">
      <c r="A3" s="48" t="s">
        <v>285</v>
      </c>
      <c r="B3" s="48" t="s">
        <v>286</v>
      </c>
      <c r="C3" s="39">
        <v>218494</v>
      </c>
      <c r="D3" s="28">
        <v>1</v>
      </c>
      <c r="E3" s="39">
        <v>218494</v>
      </c>
      <c r="F3" s="28">
        <f>436.46*D3+250063</f>
        <v>250499.46</v>
      </c>
      <c r="G3" s="28">
        <f>E3-F3</f>
        <v>-32005.459999999992</v>
      </c>
      <c r="H3" s="28">
        <v>-28052.591428571432</v>
      </c>
      <c r="I3" s="49">
        <f>F3+H3</f>
        <v>222446.86857142855</v>
      </c>
      <c r="J3" s="55">
        <f>436.46*D3+250063</f>
        <v>250499.46</v>
      </c>
      <c r="K3" s="55">
        <f t="shared" ref="K3:K34" si="0">C3-J3</f>
        <v>-32005.459999999992</v>
      </c>
      <c r="L3">
        <v>-28052.591428571432</v>
      </c>
      <c r="M3" s="57">
        <f>J3+L3</f>
        <v>222446.86857142855</v>
      </c>
      <c r="N3" s="70">
        <f>C3-M3</f>
        <v>-3952.868571428553</v>
      </c>
    </row>
    <row r="4" spans="1:16" x14ac:dyDescent="0.25">
      <c r="B4" s="48" t="s">
        <v>287</v>
      </c>
      <c r="C4" s="39">
        <v>228691</v>
      </c>
      <c r="D4" s="28">
        <v>2</v>
      </c>
      <c r="E4" s="39">
        <v>228691</v>
      </c>
      <c r="F4" s="28">
        <f t="shared" ref="F4:F67" si="1">436.46*D4+250063</f>
        <v>250935.92</v>
      </c>
      <c r="G4" s="28">
        <f t="shared" ref="G4:G67" si="2">E4-F4</f>
        <v>-22244.920000000013</v>
      </c>
      <c r="H4" s="28">
        <v>-25998.337142857141</v>
      </c>
      <c r="I4" s="28">
        <f t="shared" ref="I4:I67" si="3">F4+H4</f>
        <v>224937.58285714287</v>
      </c>
      <c r="J4" s="55">
        <f t="shared" ref="J4:J67" si="4">436.46*D4+250063</f>
        <v>250935.92</v>
      </c>
      <c r="K4" s="55">
        <f t="shared" si="0"/>
        <v>-22244.920000000013</v>
      </c>
      <c r="L4">
        <v>-25998.337142857141</v>
      </c>
      <c r="M4" s="57">
        <f>J4+L4</f>
        <v>224937.58285714287</v>
      </c>
      <c r="N4" s="70">
        <f t="shared" ref="N4:N67" si="5">C4-M4</f>
        <v>3753.4171428571281</v>
      </c>
    </row>
    <row r="5" spans="1:16" x14ac:dyDescent="0.25">
      <c r="B5" s="48" t="s">
        <v>288</v>
      </c>
      <c r="C5" s="39">
        <v>256693</v>
      </c>
      <c r="D5" s="28">
        <v>3</v>
      </c>
      <c r="E5" s="39">
        <v>256693</v>
      </c>
      <c r="F5" s="28">
        <f t="shared" si="1"/>
        <v>251372.38</v>
      </c>
      <c r="G5" s="28">
        <f t="shared" si="2"/>
        <v>5320.6199999999953</v>
      </c>
      <c r="H5" s="28">
        <v>5151.6314285714261</v>
      </c>
      <c r="I5" s="28">
        <f t="shared" si="3"/>
        <v>256524.01142857142</v>
      </c>
      <c r="J5" s="55">
        <f t="shared" si="4"/>
        <v>251372.38</v>
      </c>
      <c r="K5" s="55">
        <f t="shared" si="0"/>
        <v>5320.6199999999953</v>
      </c>
      <c r="L5">
        <v>5151.6314285714261</v>
      </c>
      <c r="M5" s="57">
        <f>J5+L5</f>
        <v>256524.01142857142</v>
      </c>
      <c r="N5" s="70">
        <f t="shared" si="5"/>
        <v>168.98857142857742</v>
      </c>
    </row>
    <row r="6" spans="1:16" x14ac:dyDescent="0.25">
      <c r="B6" s="48" t="s">
        <v>289</v>
      </c>
      <c r="C6" s="39">
        <v>228348</v>
      </c>
      <c r="D6" s="28">
        <v>4</v>
      </c>
      <c r="E6" s="39">
        <v>228348</v>
      </c>
      <c r="F6" s="28">
        <f t="shared" si="1"/>
        <v>251808.84</v>
      </c>
      <c r="G6" s="28">
        <f t="shared" si="2"/>
        <v>-23460.839999999997</v>
      </c>
      <c r="H6" s="28">
        <v>-5286.8285714285739</v>
      </c>
      <c r="I6" s="28">
        <f t="shared" si="3"/>
        <v>246522.01142857142</v>
      </c>
      <c r="J6" s="55">
        <f t="shared" si="4"/>
        <v>251808.84</v>
      </c>
      <c r="K6" s="55">
        <f t="shared" si="0"/>
        <v>-23460.839999999997</v>
      </c>
      <c r="L6">
        <v>-5286.8285714285739</v>
      </c>
      <c r="M6" s="57">
        <f>J6+L6</f>
        <v>246522.01142857142</v>
      </c>
      <c r="N6" s="70">
        <f t="shared" si="5"/>
        <v>-18174.011428571423</v>
      </c>
    </row>
    <row r="7" spans="1:16" x14ac:dyDescent="0.25">
      <c r="B7" s="48" t="s">
        <v>290</v>
      </c>
      <c r="C7" s="39">
        <v>285239</v>
      </c>
      <c r="D7" s="28">
        <v>5</v>
      </c>
      <c r="E7" s="39">
        <v>285239</v>
      </c>
      <c r="F7" s="28">
        <f t="shared" si="1"/>
        <v>252245.3</v>
      </c>
      <c r="G7" s="28">
        <f t="shared" si="2"/>
        <v>32993.700000000012</v>
      </c>
      <c r="H7" s="28">
        <v>21144.997142857141</v>
      </c>
      <c r="I7" s="28">
        <f t="shared" si="3"/>
        <v>273390.2971428571</v>
      </c>
      <c r="J7" s="55">
        <f t="shared" si="4"/>
        <v>252245.3</v>
      </c>
      <c r="K7" s="55">
        <f t="shared" si="0"/>
        <v>32993.700000000012</v>
      </c>
      <c r="L7">
        <v>21144.997142857141</v>
      </c>
      <c r="M7" s="57">
        <f>J7+L7</f>
        <v>273390.2971428571</v>
      </c>
      <c r="N7" s="70">
        <f t="shared" si="5"/>
        <v>11848.702857142896</v>
      </c>
      <c r="O7" s="56" t="s">
        <v>286</v>
      </c>
      <c r="P7" s="55">
        <f t="shared" ref="P7:P17" si="6">AVERAGE(K3,K15,K27,K39,K51,K63,K75)</f>
        <v>-28052.591428571432</v>
      </c>
    </row>
    <row r="8" spans="1:16" x14ac:dyDescent="0.25">
      <c r="B8" s="48" t="s">
        <v>291</v>
      </c>
      <c r="C8" s="39">
        <v>256816</v>
      </c>
      <c r="D8" s="28">
        <v>6</v>
      </c>
      <c r="E8" s="39">
        <v>256816</v>
      </c>
      <c r="F8" s="28">
        <f t="shared" si="1"/>
        <v>252681.76</v>
      </c>
      <c r="G8" s="28">
        <f t="shared" si="2"/>
        <v>4134.2399999999907</v>
      </c>
      <c r="H8" s="28">
        <v>29040.679999999997</v>
      </c>
      <c r="I8" s="28">
        <f t="shared" si="3"/>
        <v>281722.44</v>
      </c>
      <c r="J8" s="55">
        <f t="shared" si="4"/>
        <v>252681.76</v>
      </c>
      <c r="K8" s="55">
        <f t="shared" si="0"/>
        <v>4134.2399999999907</v>
      </c>
      <c r="L8">
        <v>29040.679999999997</v>
      </c>
      <c r="M8" s="57">
        <f>J8+L8</f>
        <v>281722.44</v>
      </c>
      <c r="N8" s="70">
        <f t="shared" si="5"/>
        <v>-24906.440000000002</v>
      </c>
      <c r="O8" s="56" t="s">
        <v>287</v>
      </c>
      <c r="P8" s="55">
        <f t="shared" si="6"/>
        <v>-25998.337142857141</v>
      </c>
    </row>
    <row r="9" spans="1:16" x14ac:dyDescent="0.25">
      <c r="B9" s="48" t="s">
        <v>292</v>
      </c>
      <c r="C9" s="39">
        <v>234425</v>
      </c>
      <c r="D9" s="28">
        <v>7</v>
      </c>
      <c r="E9" s="39">
        <v>234425</v>
      </c>
      <c r="F9" s="28">
        <f t="shared" si="1"/>
        <v>253118.22</v>
      </c>
      <c r="G9" s="28">
        <f t="shared" si="2"/>
        <v>-18693.22</v>
      </c>
      <c r="H9" s="28">
        <v>-10060.637142857142</v>
      </c>
      <c r="I9" s="28">
        <f t="shared" si="3"/>
        <v>243057.58285714287</v>
      </c>
      <c r="J9" s="55">
        <f t="shared" si="4"/>
        <v>253118.22</v>
      </c>
      <c r="K9" s="55">
        <f t="shared" si="0"/>
        <v>-18693.22</v>
      </c>
      <c r="L9">
        <v>-10060.637142857142</v>
      </c>
      <c r="M9" s="57">
        <f>J9+L9</f>
        <v>243057.58285714287</v>
      </c>
      <c r="N9" s="70">
        <f t="shared" si="5"/>
        <v>-8632.5828571428719</v>
      </c>
      <c r="O9" s="56" t="s">
        <v>288</v>
      </c>
      <c r="P9" s="55">
        <f t="shared" si="6"/>
        <v>5151.6314285714261</v>
      </c>
    </row>
    <row r="10" spans="1:16" x14ac:dyDescent="0.25">
      <c r="B10" s="48" t="s">
        <v>293</v>
      </c>
      <c r="C10" s="39">
        <v>223038</v>
      </c>
      <c r="D10" s="28">
        <v>8</v>
      </c>
      <c r="E10" s="39">
        <v>223038</v>
      </c>
      <c r="F10" s="28">
        <f t="shared" si="1"/>
        <v>253554.68</v>
      </c>
      <c r="G10" s="28">
        <f t="shared" si="2"/>
        <v>-30516.679999999993</v>
      </c>
      <c r="H10" s="28">
        <v>-36283.954285714288</v>
      </c>
      <c r="I10" s="28">
        <f t="shared" si="3"/>
        <v>217270.72571428571</v>
      </c>
      <c r="J10" s="55">
        <f t="shared" si="4"/>
        <v>253554.68</v>
      </c>
      <c r="K10" s="55">
        <f t="shared" si="0"/>
        <v>-30516.679999999993</v>
      </c>
      <c r="L10">
        <v>-36283.954285714288</v>
      </c>
      <c r="M10" s="57">
        <f>J10+L10</f>
        <v>217270.72571428571</v>
      </c>
      <c r="N10" s="70">
        <f t="shared" si="5"/>
        <v>5767.2742857142875</v>
      </c>
      <c r="O10" s="56" t="s">
        <v>289</v>
      </c>
      <c r="P10" s="55">
        <f t="shared" si="6"/>
        <v>-5286.8285714285739</v>
      </c>
    </row>
    <row r="11" spans="1:16" x14ac:dyDescent="0.25">
      <c r="B11" s="48" t="s">
        <v>294</v>
      </c>
      <c r="C11" s="39">
        <v>292189</v>
      </c>
      <c r="D11" s="28">
        <v>9</v>
      </c>
      <c r="E11" s="39">
        <v>292189</v>
      </c>
      <c r="F11" s="28">
        <f t="shared" si="1"/>
        <v>253991.14</v>
      </c>
      <c r="G11" s="28">
        <f t="shared" si="2"/>
        <v>38197.859999999986</v>
      </c>
      <c r="H11" s="28">
        <v>35555.014285714286</v>
      </c>
      <c r="I11" s="28">
        <f t="shared" si="3"/>
        <v>289546.15428571432</v>
      </c>
      <c r="J11" s="55">
        <f t="shared" si="4"/>
        <v>253991.14</v>
      </c>
      <c r="K11" s="55">
        <f t="shared" si="0"/>
        <v>38197.859999999986</v>
      </c>
      <c r="L11">
        <v>35555.014285714286</v>
      </c>
      <c r="M11" s="57">
        <f>J11+L11</f>
        <v>289546.15428571432</v>
      </c>
      <c r="N11" s="70">
        <f t="shared" si="5"/>
        <v>2642.8457142856787</v>
      </c>
      <c r="O11" s="56" t="s">
        <v>290</v>
      </c>
      <c r="P11" s="55">
        <f t="shared" si="6"/>
        <v>21144.997142857141</v>
      </c>
    </row>
    <row r="12" spans="1:16" x14ac:dyDescent="0.25">
      <c r="B12" s="48" t="s">
        <v>295</v>
      </c>
      <c r="C12" s="39">
        <v>262724</v>
      </c>
      <c r="D12" s="28">
        <v>10</v>
      </c>
      <c r="E12" s="39">
        <v>262724</v>
      </c>
      <c r="F12" s="28">
        <f t="shared" si="1"/>
        <v>254427.6</v>
      </c>
      <c r="G12" s="28">
        <f t="shared" si="2"/>
        <v>8296.3999999999942</v>
      </c>
      <c r="H12" s="28">
        <v>8983.8400000000056</v>
      </c>
      <c r="I12" s="28">
        <f t="shared" si="3"/>
        <v>263411.44</v>
      </c>
      <c r="J12" s="55">
        <f t="shared" si="4"/>
        <v>254427.6</v>
      </c>
      <c r="K12" s="55">
        <f t="shared" si="0"/>
        <v>8296.3999999999942</v>
      </c>
      <c r="L12">
        <v>8983.8400000000056</v>
      </c>
      <c r="M12" s="57">
        <f>J12+L12</f>
        <v>263411.44</v>
      </c>
      <c r="N12" s="70">
        <f t="shared" si="5"/>
        <v>-687.44000000000233</v>
      </c>
      <c r="O12" s="56" t="s">
        <v>291</v>
      </c>
      <c r="P12" s="55">
        <f t="shared" si="6"/>
        <v>29040.679999999997</v>
      </c>
    </row>
    <row r="13" spans="1:16" x14ac:dyDescent="0.25">
      <c r="B13" s="48" t="s">
        <v>296</v>
      </c>
      <c r="C13" s="39">
        <v>289564</v>
      </c>
      <c r="D13" s="28">
        <v>11</v>
      </c>
      <c r="E13" s="39">
        <v>289564</v>
      </c>
      <c r="F13" s="28">
        <f t="shared" si="1"/>
        <v>254864.06</v>
      </c>
      <c r="G13" s="28">
        <f t="shared" si="2"/>
        <v>34699.94</v>
      </c>
      <c r="H13" s="28">
        <v>26513.522857142867</v>
      </c>
      <c r="I13" s="28">
        <f t="shared" si="3"/>
        <v>281377.58285714284</v>
      </c>
      <c r="J13" s="55">
        <f t="shared" si="4"/>
        <v>254864.06</v>
      </c>
      <c r="K13" s="55">
        <f t="shared" si="0"/>
        <v>34699.94</v>
      </c>
      <c r="L13">
        <v>26513.522857142867</v>
      </c>
      <c r="M13" s="57">
        <f>J13+L13</f>
        <v>281377.58285714284</v>
      </c>
      <c r="N13" s="70">
        <f t="shared" si="5"/>
        <v>8186.4171428571572</v>
      </c>
      <c r="O13" s="56" t="s">
        <v>292</v>
      </c>
      <c r="P13" s="55">
        <f t="shared" si="6"/>
        <v>-10060.637142857142</v>
      </c>
    </row>
    <row r="14" spans="1:16" x14ac:dyDescent="0.25">
      <c r="B14" s="48" t="s">
        <v>297</v>
      </c>
      <c r="C14" s="39">
        <v>235930</v>
      </c>
      <c r="D14" s="28">
        <v>12</v>
      </c>
      <c r="E14" s="39">
        <v>235930</v>
      </c>
      <c r="F14" s="28">
        <f t="shared" si="1"/>
        <v>255300.52</v>
      </c>
      <c r="G14" s="28">
        <f t="shared" si="2"/>
        <v>-19370.51999999999</v>
      </c>
      <c r="H14" s="28">
        <v>-24157.819999999996</v>
      </c>
      <c r="I14" s="28">
        <f t="shared" si="3"/>
        <v>231142.69999999998</v>
      </c>
      <c r="J14" s="55">
        <f t="shared" si="4"/>
        <v>255300.52</v>
      </c>
      <c r="K14" s="55">
        <f t="shared" si="0"/>
        <v>-19370.51999999999</v>
      </c>
      <c r="L14">
        <v>-24157.819999999996</v>
      </c>
      <c r="M14" s="57">
        <f>J14+L14</f>
        <v>231142.69999999998</v>
      </c>
      <c r="N14" s="70">
        <f t="shared" si="5"/>
        <v>4787.3000000000175</v>
      </c>
      <c r="O14" s="56" t="s">
        <v>293</v>
      </c>
      <c r="P14" s="55">
        <f t="shared" si="6"/>
        <v>-36283.954285714288</v>
      </c>
    </row>
    <row r="15" spans="1:16" x14ac:dyDescent="0.25">
      <c r="A15" s="48" t="s">
        <v>298</v>
      </c>
      <c r="B15" s="48" t="s">
        <v>286</v>
      </c>
      <c r="C15" s="39">
        <v>225286</v>
      </c>
      <c r="D15" s="28">
        <v>13</v>
      </c>
      <c r="E15" s="39">
        <v>225286</v>
      </c>
      <c r="F15" s="28">
        <f t="shared" si="1"/>
        <v>255736.98</v>
      </c>
      <c r="G15" s="28">
        <f t="shared" si="2"/>
        <v>-30450.98000000001</v>
      </c>
      <c r="H15" s="28">
        <v>-28052.591428571432</v>
      </c>
      <c r="I15" s="28">
        <f t="shared" si="3"/>
        <v>227684.38857142857</v>
      </c>
      <c r="J15" s="55">
        <f t="shared" si="4"/>
        <v>255736.98</v>
      </c>
      <c r="K15" s="55">
        <f t="shared" si="0"/>
        <v>-30450.98000000001</v>
      </c>
      <c r="L15">
        <v>-28052.591428571432</v>
      </c>
      <c r="M15" s="57">
        <f>J15+L15</f>
        <v>227684.38857142857</v>
      </c>
      <c r="N15" s="70">
        <f t="shared" si="5"/>
        <v>-2398.3885714285716</v>
      </c>
      <c r="O15" s="56" t="s">
        <v>294</v>
      </c>
      <c r="P15" s="55">
        <f t="shared" si="6"/>
        <v>35555.014285714286</v>
      </c>
    </row>
    <row r="16" spans="1:16" x14ac:dyDescent="0.25">
      <c r="B16" s="48" t="s">
        <v>287</v>
      </c>
      <c r="C16" s="39">
        <v>227284</v>
      </c>
      <c r="D16" s="28">
        <v>14</v>
      </c>
      <c r="E16" s="39">
        <v>227284</v>
      </c>
      <c r="F16" s="28">
        <f t="shared" si="1"/>
        <v>256173.44</v>
      </c>
      <c r="G16" s="28">
        <f t="shared" si="2"/>
        <v>-28889.440000000002</v>
      </c>
      <c r="H16" s="28">
        <v>-25998.337142857141</v>
      </c>
      <c r="I16" s="28">
        <f t="shared" si="3"/>
        <v>230175.10285714286</v>
      </c>
      <c r="J16" s="55">
        <f t="shared" si="4"/>
        <v>256173.44</v>
      </c>
      <c r="K16" s="55">
        <f t="shared" si="0"/>
        <v>-28889.440000000002</v>
      </c>
      <c r="L16">
        <v>-25998.337142857141</v>
      </c>
      <c r="M16" s="57">
        <f>J16+L16</f>
        <v>230175.10285714286</v>
      </c>
      <c r="N16" s="70">
        <f t="shared" si="5"/>
        <v>-2891.1028571428615</v>
      </c>
      <c r="O16" s="56" t="s">
        <v>295</v>
      </c>
      <c r="P16" s="55">
        <f t="shared" si="6"/>
        <v>8983.8400000000056</v>
      </c>
    </row>
    <row r="17" spans="1:16" x14ac:dyDescent="0.25">
      <c r="B17" s="48" t="s">
        <v>288</v>
      </c>
      <c r="C17" s="39">
        <v>272051</v>
      </c>
      <c r="D17" s="28">
        <v>15</v>
      </c>
      <c r="E17" s="39">
        <v>272051</v>
      </c>
      <c r="F17" s="28">
        <f t="shared" si="1"/>
        <v>256609.9</v>
      </c>
      <c r="G17" s="28">
        <f t="shared" si="2"/>
        <v>15441.100000000006</v>
      </c>
      <c r="H17" s="28">
        <v>5151.6314285714261</v>
      </c>
      <c r="I17" s="28">
        <f t="shared" si="3"/>
        <v>261761.53142857141</v>
      </c>
      <c r="J17" s="55">
        <f t="shared" si="4"/>
        <v>256609.9</v>
      </c>
      <c r="K17" s="55">
        <f t="shared" si="0"/>
        <v>15441.100000000006</v>
      </c>
      <c r="L17">
        <v>5151.6314285714261</v>
      </c>
      <c r="M17" s="57">
        <f>J17+L17</f>
        <v>261761.53142857141</v>
      </c>
      <c r="N17" s="70">
        <f t="shared" si="5"/>
        <v>10289.468571428588</v>
      </c>
      <c r="O17" s="56" t="s">
        <v>296</v>
      </c>
      <c r="P17" s="55">
        <f t="shared" si="6"/>
        <v>26513.522857142867</v>
      </c>
    </row>
    <row r="18" spans="1:16" x14ac:dyDescent="0.25">
      <c r="B18" s="48" t="s">
        <v>289</v>
      </c>
      <c r="C18" s="39">
        <v>238359</v>
      </c>
      <c r="D18" s="28">
        <v>16</v>
      </c>
      <c r="E18" s="39">
        <v>238359</v>
      </c>
      <c r="F18" s="28">
        <f t="shared" si="1"/>
        <v>257046.36</v>
      </c>
      <c r="G18" s="28">
        <f t="shared" si="2"/>
        <v>-18687.359999999986</v>
      </c>
      <c r="H18" s="28">
        <v>-5286.8285714285739</v>
      </c>
      <c r="I18" s="28">
        <f t="shared" si="3"/>
        <v>251759.53142857141</v>
      </c>
      <c r="J18" s="55">
        <f t="shared" si="4"/>
        <v>257046.36</v>
      </c>
      <c r="K18" s="55">
        <f t="shared" si="0"/>
        <v>-18687.359999999986</v>
      </c>
      <c r="L18">
        <v>-5286.8285714285739</v>
      </c>
      <c r="M18" s="57">
        <f>J18+L18</f>
        <v>251759.53142857141</v>
      </c>
      <c r="N18" s="70">
        <f t="shared" si="5"/>
        <v>-13400.531428571412</v>
      </c>
      <c r="O18" s="56" t="s">
        <v>297</v>
      </c>
      <c r="P18" s="55">
        <f>AVERAGE(K14,K26,K38,K50,K62,K74)</f>
        <v>-24157.819999999996</v>
      </c>
    </row>
    <row r="19" spans="1:16" x14ac:dyDescent="0.25">
      <c r="B19" s="48" t="s">
        <v>290</v>
      </c>
      <c r="C19" s="39">
        <v>274210</v>
      </c>
      <c r="D19" s="28">
        <v>17</v>
      </c>
      <c r="E19" s="39">
        <v>274210</v>
      </c>
      <c r="F19" s="28">
        <f t="shared" si="1"/>
        <v>257482.82</v>
      </c>
      <c r="G19" s="28">
        <f t="shared" si="2"/>
        <v>16727.179999999993</v>
      </c>
      <c r="H19" s="28">
        <v>21144.997142857141</v>
      </c>
      <c r="I19" s="28">
        <f t="shared" si="3"/>
        <v>278627.81714285712</v>
      </c>
      <c r="J19" s="55">
        <f t="shared" si="4"/>
        <v>257482.82</v>
      </c>
      <c r="K19" s="55">
        <f t="shared" si="0"/>
        <v>16727.179999999993</v>
      </c>
      <c r="L19">
        <v>21144.997142857141</v>
      </c>
      <c r="M19" s="57">
        <f>J19+L19</f>
        <v>278627.81714285712</v>
      </c>
      <c r="N19" s="70">
        <f t="shared" si="5"/>
        <v>-4417.8171428571222</v>
      </c>
    </row>
    <row r="20" spans="1:16" x14ac:dyDescent="0.25">
      <c r="B20" s="48" t="s">
        <v>291</v>
      </c>
      <c r="C20" s="39">
        <v>265254</v>
      </c>
      <c r="D20" s="28">
        <v>18</v>
      </c>
      <c r="E20" s="39">
        <v>265254</v>
      </c>
      <c r="F20" s="28">
        <f t="shared" si="1"/>
        <v>257919.28</v>
      </c>
      <c r="G20" s="28">
        <f t="shared" si="2"/>
        <v>7334.7200000000012</v>
      </c>
      <c r="H20" s="28">
        <v>29040.679999999997</v>
      </c>
      <c r="I20" s="28">
        <f t="shared" si="3"/>
        <v>286959.96000000002</v>
      </c>
      <c r="J20" s="55">
        <f t="shared" si="4"/>
        <v>257919.28</v>
      </c>
      <c r="K20" s="55">
        <f t="shared" si="0"/>
        <v>7334.7200000000012</v>
      </c>
      <c r="L20">
        <v>29040.679999999997</v>
      </c>
      <c r="M20" s="57">
        <f>J20+L20</f>
        <v>286959.96000000002</v>
      </c>
      <c r="N20" s="70">
        <f t="shared" si="5"/>
        <v>-21705.960000000021</v>
      </c>
    </row>
    <row r="21" spans="1:16" x14ac:dyDescent="0.25">
      <c r="B21" s="48" t="s">
        <v>292</v>
      </c>
      <c r="C21" s="39">
        <v>218571</v>
      </c>
      <c r="D21" s="28">
        <v>19</v>
      </c>
      <c r="E21" s="39">
        <v>218571</v>
      </c>
      <c r="F21" s="28">
        <f t="shared" si="1"/>
        <v>258355.74</v>
      </c>
      <c r="G21" s="28">
        <f t="shared" si="2"/>
        <v>-39784.739999999991</v>
      </c>
      <c r="H21" s="28">
        <v>-10060.637142857142</v>
      </c>
      <c r="I21" s="28">
        <f t="shared" si="3"/>
        <v>248295.10285714286</v>
      </c>
      <c r="J21" s="55">
        <f t="shared" si="4"/>
        <v>258355.74</v>
      </c>
      <c r="K21" s="55">
        <f t="shared" si="0"/>
        <v>-39784.739999999991</v>
      </c>
      <c r="L21">
        <v>-10060.637142857142</v>
      </c>
      <c r="M21" s="57">
        <f>J21+L21</f>
        <v>248295.10285714286</v>
      </c>
      <c r="N21" s="70">
        <f t="shared" si="5"/>
        <v>-29724.102857142861</v>
      </c>
    </row>
    <row r="22" spans="1:16" x14ac:dyDescent="0.25">
      <c r="B22" s="48" t="s">
        <v>293</v>
      </c>
      <c r="C22" s="39">
        <v>230663</v>
      </c>
      <c r="D22" s="28">
        <v>20</v>
      </c>
      <c r="E22" s="39">
        <v>230663</v>
      </c>
      <c r="F22" s="28">
        <f t="shared" si="1"/>
        <v>258792.2</v>
      </c>
      <c r="G22" s="28">
        <f t="shared" si="2"/>
        <v>-28129.200000000012</v>
      </c>
      <c r="H22" s="28">
        <v>-36283.954285714288</v>
      </c>
      <c r="I22" s="28">
        <f t="shared" si="3"/>
        <v>222508.24571428573</v>
      </c>
      <c r="J22" s="55">
        <f t="shared" si="4"/>
        <v>258792.2</v>
      </c>
      <c r="K22" s="55">
        <f t="shared" si="0"/>
        <v>-28129.200000000012</v>
      </c>
      <c r="L22">
        <v>-36283.954285714288</v>
      </c>
      <c r="M22" s="57">
        <f>J22+L22</f>
        <v>222508.24571428573</v>
      </c>
      <c r="N22" s="70">
        <f t="shared" si="5"/>
        <v>8154.7542857142689</v>
      </c>
    </row>
    <row r="23" spans="1:16" x14ac:dyDescent="0.25">
      <c r="B23" s="48" t="s">
        <v>294</v>
      </c>
      <c r="C23" s="39">
        <v>276216</v>
      </c>
      <c r="D23" s="28">
        <v>21</v>
      </c>
      <c r="E23" s="39">
        <v>276216</v>
      </c>
      <c r="F23" s="28">
        <f t="shared" si="1"/>
        <v>259228.66</v>
      </c>
      <c r="G23" s="28">
        <f t="shared" si="2"/>
        <v>16987.339999999997</v>
      </c>
      <c r="H23" s="28">
        <v>35555.014285714286</v>
      </c>
      <c r="I23" s="28">
        <f t="shared" si="3"/>
        <v>294783.67428571428</v>
      </c>
      <c r="J23" s="55">
        <f t="shared" si="4"/>
        <v>259228.66</v>
      </c>
      <c r="K23" s="55">
        <f t="shared" si="0"/>
        <v>16987.339999999997</v>
      </c>
      <c r="L23">
        <v>35555.014285714286</v>
      </c>
      <c r="M23" s="57">
        <f>J23+L23</f>
        <v>294783.67428571428</v>
      </c>
      <c r="N23" s="70">
        <f t="shared" si="5"/>
        <v>-18567.674285714282</v>
      </c>
    </row>
    <row r="24" spans="1:16" x14ac:dyDescent="0.25">
      <c r="B24" s="48" t="s">
        <v>295</v>
      </c>
      <c r="C24" s="39">
        <v>272795</v>
      </c>
      <c r="D24" s="28">
        <v>22</v>
      </c>
      <c r="E24" s="39">
        <v>272795</v>
      </c>
      <c r="F24" s="28">
        <f t="shared" si="1"/>
        <v>259665.12</v>
      </c>
      <c r="G24" s="28">
        <f t="shared" si="2"/>
        <v>13129.880000000005</v>
      </c>
      <c r="H24" s="28">
        <v>8983.8400000000056</v>
      </c>
      <c r="I24" s="28">
        <f t="shared" si="3"/>
        <v>268648.96000000002</v>
      </c>
      <c r="J24" s="55">
        <f t="shared" si="4"/>
        <v>259665.12</v>
      </c>
      <c r="K24" s="55">
        <f t="shared" si="0"/>
        <v>13129.880000000005</v>
      </c>
      <c r="L24">
        <v>8983.8400000000056</v>
      </c>
      <c r="M24" s="57">
        <f>J24+L24</f>
        <v>268648.96000000002</v>
      </c>
      <c r="N24" s="70">
        <f t="shared" si="5"/>
        <v>4146.039999999979</v>
      </c>
    </row>
    <row r="25" spans="1:16" x14ac:dyDescent="0.25">
      <c r="B25" s="48" t="s">
        <v>296</v>
      </c>
      <c r="C25" s="39">
        <v>312568</v>
      </c>
      <c r="D25" s="28">
        <v>23</v>
      </c>
      <c r="E25" s="39">
        <v>312568</v>
      </c>
      <c r="F25" s="28">
        <f t="shared" si="1"/>
        <v>260101.58</v>
      </c>
      <c r="G25" s="28">
        <f t="shared" si="2"/>
        <v>52466.420000000013</v>
      </c>
      <c r="H25" s="28">
        <v>26513.522857142867</v>
      </c>
      <c r="I25" s="28">
        <f t="shared" si="3"/>
        <v>286615.10285714286</v>
      </c>
      <c r="J25" s="55">
        <f t="shared" si="4"/>
        <v>260101.58</v>
      </c>
      <c r="K25" s="55">
        <f t="shared" si="0"/>
        <v>52466.420000000013</v>
      </c>
      <c r="L25">
        <v>26513.522857142867</v>
      </c>
      <c r="M25" s="57">
        <f>J25+L25</f>
        <v>286615.10285714286</v>
      </c>
      <c r="N25" s="70">
        <f t="shared" si="5"/>
        <v>25952.897142857139</v>
      </c>
    </row>
    <row r="26" spans="1:16" x14ac:dyDescent="0.25">
      <c r="B26" s="48" t="s">
        <v>297</v>
      </c>
      <c r="C26" s="39">
        <v>233456</v>
      </c>
      <c r="D26" s="28">
        <v>24</v>
      </c>
      <c r="E26" s="39">
        <v>233456</v>
      </c>
      <c r="F26" s="28">
        <f t="shared" si="1"/>
        <v>260538.04</v>
      </c>
      <c r="G26" s="28">
        <f t="shared" si="2"/>
        <v>-27082.040000000008</v>
      </c>
      <c r="H26" s="28">
        <v>-24157.819999999996</v>
      </c>
      <c r="I26" s="28">
        <f t="shared" si="3"/>
        <v>236380.22</v>
      </c>
      <c r="J26" s="55">
        <f t="shared" si="4"/>
        <v>260538.04</v>
      </c>
      <c r="K26" s="55">
        <f t="shared" si="0"/>
        <v>-27082.040000000008</v>
      </c>
      <c r="L26">
        <v>-24157.819999999996</v>
      </c>
      <c r="M26" s="57">
        <f>J26+L26</f>
        <v>236380.22</v>
      </c>
      <c r="N26" s="70">
        <f t="shared" si="5"/>
        <v>-2924.2200000000012</v>
      </c>
    </row>
    <row r="27" spans="1:16" x14ac:dyDescent="0.25">
      <c r="A27" s="48" t="s">
        <v>299</v>
      </c>
      <c r="B27" s="48" t="s">
        <v>286</v>
      </c>
      <c r="C27" s="39">
        <v>238175</v>
      </c>
      <c r="D27" s="28">
        <v>25</v>
      </c>
      <c r="E27" s="39">
        <v>238175</v>
      </c>
      <c r="F27" s="28">
        <f t="shared" si="1"/>
        <v>260974.5</v>
      </c>
      <c r="G27" s="28">
        <f t="shared" si="2"/>
        <v>-22799.5</v>
      </c>
      <c r="H27" s="28">
        <v>-28052.591428571432</v>
      </c>
      <c r="I27" s="28">
        <f t="shared" si="3"/>
        <v>232921.90857142856</v>
      </c>
      <c r="J27" s="55">
        <f t="shared" si="4"/>
        <v>260974.5</v>
      </c>
      <c r="K27" s="55">
        <f t="shared" si="0"/>
        <v>-22799.5</v>
      </c>
      <c r="L27">
        <v>-28052.591428571432</v>
      </c>
      <c r="M27" s="57">
        <f>J27+L27</f>
        <v>232921.90857142856</v>
      </c>
      <c r="N27" s="70">
        <f t="shared" si="5"/>
        <v>5253.0914285714389</v>
      </c>
    </row>
    <row r="28" spans="1:16" x14ac:dyDescent="0.25">
      <c r="B28" s="48" t="s">
        <v>287</v>
      </c>
      <c r="C28" s="39">
        <v>237182</v>
      </c>
      <c r="D28" s="28">
        <v>26</v>
      </c>
      <c r="E28" s="39">
        <v>237182</v>
      </c>
      <c r="F28" s="28">
        <f t="shared" si="1"/>
        <v>261410.96</v>
      </c>
      <c r="G28" s="28">
        <f t="shared" si="2"/>
        <v>-24228.959999999992</v>
      </c>
      <c r="H28" s="28">
        <v>-25998.337142857141</v>
      </c>
      <c r="I28" s="28">
        <f t="shared" si="3"/>
        <v>235412.62285714285</v>
      </c>
      <c r="J28" s="55">
        <f t="shared" si="4"/>
        <v>261410.96</v>
      </c>
      <c r="K28" s="55">
        <f t="shared" si="0"/>
        <v>-24228.959999999992</v>
      </c>
      <c r="L28">
        <v>-25998.337142857141</v>
      </c>
      <c r="M28" s="57">
        <f>J28+L28</f>
        <v>235412.62285714285</v>
      </c>
      <c r="N28" s="70">
        <f t="shared" si="5"/>
        <v>1769.377142857149</v>
      </c>
    </row>
    <row r="29" spans="1:16" x14ac:dyDescent="0.25">
      <c r="B29" s="48" t="s">
        <v>288</v>
      </c>
      <c r="C29" s="39">
        <v>268118</v>
      </c>
      <c r="D29" s="28">
        <v>27</v>
      </c>
      <c r="E29" s="39">
        <v>268118</v>
      </c>
      <c r="F29" s="28">
        <f t="shared" si="1"/>
        <v>261847.42</v>
      </c>
      <c r="G29" s="28">
        <f t="shared" si="2"/>
        <v>6270.5799999999872</v>
      </c>
      <c r="H29" s="28">
        <v>5151.6314285714261</v>
      </c>
      <c r="I29" s="28">
        <f t="shared" si="3"/>
        <v>266999.05142857146</v>
      </c>
      <c r="J29" s="55">
        <f t="shared" si="4"/>
        <v>261847.42</v>
      </c>
      <c r="K29" s="55">
        <f t="shared" si="0"/>
        <v>6270.5799999999872</v>
      </c>
      <c r="L29">
        <v>5151.6314285714261</v>
      </c>
      <c r="M29" s="57">
        <f>J29+L29</f>
        <v>266999.05142857146</v>
      </c>
      <c r="N29" s="70">
        <f t="shared" si="5"/>
        <v>1118.9485714285402</v>
      </c>
    </row>
    <row r="30" spans="1:16" x14ac:dyDescent="0.25">
      <c r="B30" s="48" t="s">
        <v>289</v>
      </c>
      <c r="C30" s="39">
        <v>281337</v>
      </c>
      <c r="D30" s="28">
        <v>28</v>
      </c>
      <c r="E30" s="39">
        <v>281337</v>
      </c>
      <c r="F30" s="28">
        <f t="shared" si="1"/>
        <v>262283.88</v>
      </c>
      <c r="G30" s="28">
        <f t="shared" si="2"/>
        <v>19053.119999999995</v>
      </c>
      <c r="H30" s="28">
        <v>-5286.8285714285739</v>
      </c>
      <c r="I30" s="28">
        <f t="shared" si="3"/>
        <v>256997.05142857143</v>
      </c>
      <c r="J30" s="55">
        <f t="shared" si="4"/>
        <v>262283.88</v>
      </c>
      <c r="K30" s="55">
        <f t="shared" si="0"/>
        <v>19053.119999999995</v>
      </c>
      <c r="L30">
        <v>-5286.8285714285739</v>
      </c>
      <c r="M30" s="57">
        <f>J30+L30</f>
        <v>256997.05142857143</v>
      </c>
      <c r="N30" s="70">
        <f t="shared" si="5"/>
        <v>24339.948571428569</v>
      </c>
    </row>
    <row r="31" spans="1:16" x14ac:dyDescent="0.25">
      <c r="B31" s="48" t="s">
        <v>290</v>
      </c>
      <c r="C31" s="39">
        <v>260012</v>
      </c>
      <c r="D31" s="28">
        <v>29</v>
      </c>
      <c r="E31" s="39">
        <v>260012</v>
      </c>
      <c r="F31" s="28">
        <f t="shared" si="1"/>
        <v>262720.34000000003</v>
      </c>
      <c r="G31" s="28">
        <f t="shared" si="2"/>
        <v>-2708.3400000000256</v>
      </c>
      <c r="H31" s="28">
        <v>21144.997142857141</v>
      </c>
      <c r="I31" s="28">
        <f t="shared" si="3"/>
        <v>283865.33714285714</v>
      </c>
      <c r="J31" s="55">
        <f t="shared" si="4"/>
        <v>262720.34000000003</v>
      </c>
      <c r="K31" s="55">
        <f t="shared" si="0"/>
        <v>-2708.3400000000256</v>
      </c>
      <c r="L31">
        <v>21144.997142857141</v>
      </c>
      <c r="M31" s="57">
        <f>J31+L31</f>
        <v>283865.33714285714</v>
      </c>
      <c r="N31" s="70">
        <f t="shared" si="5"/>
        <v>-23853.337142857141</v>
      </c>
    </row>
    <row r="32" spans="1:16" x14ac:dyDescent="0.25">
      <c r="B32" s="48" t="s">
        <v>291</v>
      </c>
      <c r="C32" s="39">
        <v>308009</v>
      </c>
      <c r="D32" s="28">
        <v>30</v>
      </c>
      <c r="E32" s="39">
        <v>308009</v>
      </c>
      <c r="F32" s="28">
        <f t="shared" si="1"/>
        <v>263156.8</v>
      </c>
      <c r="G32" s="28">
        <f t="shared" si="2"/>
        <v>44852.200000000012</v>
      </c>
      <c r="H32" s="28">
        <v>29040.679999999997</v>
      </c>
      <c r="I32" s="28">
        <f t="shared" si="3"/>
        <v>292197.48</v>
      </c>
      <c r="J32" s="55">
        <f t="shared" si="4"/>
        <v>263156.8</v>
      </c>
      <c r="K32" s="55">
        <f t="shared" si="0"/>
        <v>44852.200000000012</v>
      </c>
      <c r="L32">
        <v>29040.679999999997</v>
      </c>
      <c r="M32" s="57">
        <f>J32+L32</f>
        <v>292197.48</v>
      </c>
      <c r="N32" s="70">
        <f t="shared" si="5"/>
        <v>15811.520000000019</v>
      </c>
    </row>
    <row r="33" spans="1:14" x14ac:dyDescent="0.25">
      <c r="B33" s="48" t="s">
        <v>292</v>
      </c>
      <c r="C33" s="39">
        <v>246961</v>
      </c>
      <c r="D33" s="28">
        <v>31</v>
      </c>
      <c r="E33" s="39">
        <v>246961</v>
      </c>
      <c r="F33" s="28">
        <f t="shared" si="1"/>
        <v>263593.26</v>
      </c>
      <c r="G33" s="28">
        <f t="shared" si="2"/>
        <v>-16632.260000000009</v>
      </c>
      <c r="H33" s="28">
        <v>-10060.637142857142</v>
      </c>
      <c r="I33" s="28">
        <f t="shared" si="3"/>
        <v>253532.62285714288</v>
      </c>
      <c r="J33" s="55">
        <f t="shared" si="4"/>
        <v>263593.26</v>
      </c>
      <c r="K33" s="55">
        <f t="shared" si="0"/>
        <v>-16632.260000000009</v>
      </c>
      <c r="L33">
        <v>-10060.637142857142</v>
      </c>
      <c r="M33" s="57">
        <f>J33+L33</f>
        <v>253532.62285714288</v>
      </c>
      <c r="N33" s="70">
        <f t="shared" si="5"/>
        <v>-6571.6228571428801</v>
      </c>
    </row>
    <row r="34" spans="1:14" x14ac:dyDescent="0.25">
      <c r="B34" s="48" t="s">
        <v>293</v>
      </c>
      <c r="C34" s="39">
        <v>245593</v>
      </c>
      <c r="D34" s="28">
        <v>32</v>
      </c>
      <c r="E34" s="39">
        <v>245593</v>
      </c>
      <c r="F34" s="28">
        <f t="shared" si="1"/>
        <v>264029.71999999997</v>
      </c>
      <c r="G34" s="28">
        <f t="shared" si="2"/>
        <v>-18436.719999999972</v>
      </c>
      <c r="H34" s="28">
        <v>-36283.954285714288</v>
      </c>
      <c r="I34" s="28">
        <f t="shared" si="3"/>
        <v>227745.76571428569</v>
      </c>
      <c r="J34" s="55">
        <f t="shared" si="4"/>
        <v>264029.71999999997</v>
      </c>
      <c r="K34" s="55">
        <f t="shared" si="0"/>
        <v>-18436.719999999972</v>
      </c>
      <c r="L34">
        <v>-36283.954285714288</v>
      </c>
      <c r="M34" s="57">
        <f>J34+L34</f>
        <v>227745.76571428569</v>
      </c>
      <c r="N34" s="70">
        <f t="shared" si="5"/>
        <v>17847.234285714308</v>
      </c>
    </row>
    <row r="35" spans="1:14" x14ac:dyDescent="0.25">
      <c r="B35" s="48" t="s">
        <v>294</v>
      </c>
      <c r="C35" s="39">
        <v>309197</v>
      </c>
      <c r="D35" s="28">
        <v>33</v>
      </c>
      <c r="E35" s="39">
        <v>309197</v>
      </c>
      <c r="F35" s="28">
        <f t="shared" si="1"/>
        <v>264466.18</v>
      </c>
      <c r="G35" s="28">
        <f t="shared" si="2"/>
        <v>44730.820000000007</v>
      </c>
      <c r="H35" s="28">
        <v>35555.014285714286</v>
      </c>
      <c r="I35" s="28">
        <f t="shared" si="3"/>
        <v>300021.1942857143</v>
      </c>
      <c r="J35" s="55">
        <f t="shared" si="4"/>
        <v>264466.18</v>
      </c>
      <c r="K35" s="55">
        <f t="shared" ref="K35:K66" si="7">C35-J35</f>
        <v>44730.820000000007</v>
      </c>
      <c r="L35">
        <v>35555.014285714286</v>
      </c>
      <c r="M35" s="57">
        <f>J35+L35</f>
        <v>300021.1942857143</v>
      </c>
      <c r="N35" s="70">
        <f t="shared" si="5"/>
        <v>9175.8057142856997</v>
      </c>
    </row>
    <row r="36" spans="1:14" x14ac:dyDescent="0.25">
      <c r="B36" s="48" t="s">
        <v>295</v>
      </c>
      <c r="C36" s="39">
        <v>290275</v>
      </c>
      <c r="D36" s="28">
        <v>34</v>
      </c>
      <c r="E36" s="39">
        <v>290275</v>
      </c>
      <c r="F36" s="28">
        <f t="shared" si="1"/>
        <v>264902.64</v>
      </c>
      <c r="G36" s="28">
        <f t="shared" si="2"/>
        <v>25372.359999999986</v>
      </c>
      <c r="H36" s="28">
        <v>8983.8400000000056</v>
      </c>
      <c r="I36" s="28">
        <f t="shared" si="3"/>
        <v>273886.48000000004</v>
      </c>
      <c r="J36" s="55">
        <f t="shared" si="4"/>
        <v>264902.64</v>
      </c>
      <c r="K36" s="55">
        <f t="shared" si="7"/>
        <v>25372.359999999986</v>
      </c>
      <c r="L36">
        <v>8983.8400000000056</v>
      </c>
      <c r="M36" s="57">
        <f>J36+L36</f>
        <v>273886.48000000004</v>
      </c>
      <c r="N36" s="70">
        <f t="shared" si="5"/>
        <v>16388.51999999996</v>
      </c>
    </row>
    <row r="37" spans="1:14" x14ac:dyDescent="0.25">
      <c r="B37" s="48" t="s">
        <v>296</v>
      </c>
      <c r="C37" s="39">
        <v>306498</v>
      </c>
      <c r="D37" s="28">
        <v>35</v>
      </c>
      <c r="E37" s="39">
        <v>306498</v>
      </c>
      <c r="F37" s="28">
        <f t="shared" si="1"/>
        <v>265339.09999999998</v>
      </c>
      <c r="G37" s="28">
        <f t="shared" si="2"/>
        <v>41158.900000000023</v>
      </c>
      <c r="H37" s="28">
        <v>26513.522857142867</v>
      </c>
      <c r="I37" s="28">
        <f t="shared" si="3"/>
        <v>291852.62285714282</v>
      </c>
      <c r="J37" s="55">
        <f t="shared" si="4"/>
        <v>265339.09999999998</v>
      </c>
      <c r="K37" s="55">
        <f t="shared" si="7"/>
        <v>41158.900000000023</v>
      </c>
      <c r="L37">
        <v>26513.522857142867</v>
      </c>
      <c r="M37" s="57">
        <f>J37+L37</f>
        <v>291852.62285714282</v>
      </c>
      <c r="N37" s="70">
        <f t="shared" si="5"/>
        <v>14645.377142857178</v>
      </c>
    </row>
    <row r="38" spans="1:14" x14ac:dyDescent="0.25">
      <c r="B38" s="48" t="s">
        <v>297</v>
      </c>
      <c r="C38" s="39">
        <v>243648</v>
      </c>
      <c r="D38" s="28">
        <v>36</v>
      </c>
      <c r="E38" s="39">
        <v>243648</v>
      </c>
      <c r="F38" s="28">
        <f t="shared" si="1"/>
        <v>265775.56</v>
      </c>
      <c r="G38" s="28">
        <f t="shared" si="2"/>
        <v>-22127.559999999998</v>
      </c>
      <c r="H38" s="28">
        <v>-24157.819999999996</v>
      </c>
      <c r="I38" s="28">
        <f t="shared" si="3"/>
        <v>241617.74</v>
      </c>
      <c r="J38" s="55">
        <f t="shared" si="4"/>
        <v>265775.56</v>
      </c>
      <c r="K38" s="55">
        <f t="shared" si="7"/>
        <v>-22127.559999999998</v>
      </c>
      <c r="L38">
        <v>-24157.819999999996</v>
      </c>
      <c r="M38" s="57">
        <f>J38+L38</f>
        <v>241617.74</v>
      </c>
      <c r="N38" s="70">
        <f t="shared" si="5"/>
        <v>2030.2600000000093</v>
      </c>
    </row>
    <row r="39" spans="1:14" x14ac:dyDescent="0.25">
      <c r="A39" s="48" t="s">
        <v>300</v>
      </c>
      <c r="B39" s="48" t="s">
        <v>286</v>
      </c>
      <c r="C39" s="39">
        <v>252381</v>
      </c>
      <c r="D39" s="28">
        <v>37</v>
      </c>
      <c r="E39" s="39">
        <v>252381</v>
      </c>
      <c r="F39" s="28">
        <f t="shared" si="1"/>
        <v>266212.02</v>
      </c>
      <c r="G39" s="28">
        <f t="shared" si="2"/>
        <v>-13831.020000000019</v>
      </c>
      <c r="H39" s="28">
        <v>-28052.591428571432</v>
      </c>
      <c r="I39" s="28">
        <f t="shared" si="3"/>
        <v>238159.42857142858</v>
      </c>
      <c r="J39" s="55">
        <f t="shared" si="4"/>
        <v>266212.02</v>
      </c>
      <c r="K39" s="55">
        <f t="shared" si="7"/>
        <v>-13831.020000000019</v>
      </c>
      <c r="L39">
        <v>-28052.591428571432</v>
      </c>
      <c r="M39" s="57">
        <f>J39+L39</f>
        <v>238159.42857142858</v>
      </c>
      <c r="N39" s="70">
        <f t="shared" si="5"/>
        <v>14221.57142857142</v>
      </c>
    </row>
    <row r="40" spans="1:14" x14ac:dyDescent="0.25">
      <c r="B40" s="48" t="s">
        <v>287</v>
      </c>
      <c r="C40" s="39">
        <v>254012</v>
      </c>
      <c r="D40" s="28">
        <v>38</v>
      </c>
      <c r="E40" s="39">
        <v>254012</v>
      </c>
      <c r="F40" s="28">
        <f t="shared" si="1"/>
        <v>266648.48</v>
      </c>
      <c r="G40" s="28">
        <f t="shared" si="2"/>
        <v>-12636.479999999981</v>
      </c>
      <c r="H40" s="28">
        <v>-25998.337142857141</v>
      </c>
      <c r="I40" s="28">
        <f t="shared" si="3"/>
        <v>240650.14285714284</v>
      </c>
      <c r="J40" s="55">
        <f t="shared" si="4"/>
        <v>266648.48</v>
      </c>
      <c r="K40" s="55">
        <f t="shared" si="7"/>
        <v>-12636.479999999981</v>
      </c>
      <c r="L40">
        <v>-25998.337142857141</v>
      </c>
      <c r="M40" s="57">
        <f>J40+L40</f>
        <v>240650.14285714284</v>
      </c>
      <c r="N40" s="70">
        <f t="shared" si="5"/>
        <v>13361.857142857159</v>
      </c>
    </row>
    <row r="41" spans="1:14" x14ac:dyDescent="0.25">
      <c r="B41" s="48" t="s">
        <v>288</v>
      </c>
      <c r="C41" s="39">
        <v>281927</v>
      </c>
      <c r="D41" s="28">
        <v>39</v>
      </c>
      <c r="E41" s="39">
        <v>281927</v>
      </c>
      <c r="F41" s="28">
        <f t="shared" si="1"/>
        <v>267084.94</v>
      </c>
      <c r="G41" s="28">
        <f t="shared" si="2"/>
        <v>14842.059999999998</v>
      </c>
      <c r="H41" s="28">
        <v>5151.6314285714261</v>
      </c>
      <c r="I41" s="28">
        <f t="shared" si="3"/>
        <v>272236.57142857142</v>
      </c>
      <c r="J41" s="55">
        <f t="shared" si="4"/>
        <v>267084.94</v>
      </c>
      <c r="K41" s="55">
        <f t="shared" si="7"/>
        <v>14842.059999999998</v>
      </c>
      <c r="L41">
        <v>5151.6314285714261</v>
      </c>
      <c r="M41" s="57">
        <f>J41+L41</f>
        <v>272236.57142857142</v>
      </c>
      <c r="N41" s="70">
        <f t="shared" si="5"/>
        <v>9690.4285714285797</v>
      </c>
    </row>
    <row r="42" spans="1:14" x14ac:dyDescent="0.25">
      <c r="B42" s="48" t="s">
        <v>289</v>
      </c>
      <c r="C42" s="39">
        <v>256965</v>
      </c>
      <c r="D42" s="28">
        <v>40</v>
      </c>
      <c r="E42" s="39">
        <v>256965</v>
      </c>
      <c r="F42" s="28">
        <f t="shared" si="1"/>
        <v>267521.40000000002</v>
      </c>
      <c r="G42" s="28">
        <f t="shared" si="2"/>
        <v>-10556.400000000023</v>
      </c>
      <c r="H42" s="28">
        <v>-5286.8285714285739</v>
      </c>
      <c r="I42" s="28">
        <f t="shared" si="3"/>
        <v>262234.57142857148</v>
      </c>
      <c r="J42" s="55">
        <f t="shared" si="4"/>
        <v>267521.40000000002</v>
      </c>
      <c r="K42" s="55">
        <f t="shared" si="7"/>
        <v>-10556.400000000023</v>
      </c>
      <c r="L42">
        <v>-5286.8285714285739</v>
      </c>
      <c r="M42" s="57">
        <f>J42+L42</f>
        <v>262234.57142857148</v>
      </c>
      <c r="N42" s="70">
        <f t="shared" si="5"/>
        <v>-5269.5714285714785</v>
      </c>
    </row>
    <row r="43" spans="1:14" x14ac:dyDescent="0.25">
      <c r="B43" s="48" t="s">
        <v>290</v>
      </c>
      <c r="C43" s="39">
        <v>306552</v>
      </c>
      <c r="D43" s="28">
        <v>41</v>
      </c>
      <c r="E43" s="39">
        <v>306552</v>
      </c>
      <c r="F43" s="28">
        <f t="shared" si="1"/>
        <v>267957.86</v>
      </c>
      <c r="G43" s="28">
        <f t="shared" si="2"/>
        <v>38594.140000000014</v>
      </c>
      <c r="H43" s="28">
        <v>21144.997142857141</v>
      </c>
      <c r="I43" s="28">
        <f t="shared" si="3"/>
        <v>289102.8571428571</v>
      </c>
      <c r="J43" s="55">
        <f t="shared" si="4"/>
        <v>267957.86</v>
      </c>
      <c r="K43" s="55">
        <f t="shared" si="7"/>
        <v>38594.140000000014</v>
      </c>
      <c r="L43">
        <v>21144.997142857141</v>
      </c>
      <c r="M43" s="57">
        <f>J43+L43</f>
        <v>289102.8571428571</v>
      </c>
      <c r="N43" s="70">
        <f t="shared" si="5"/>
        <v>17449.142857142899</v>
      </c>
    </row>
    <row r="44" spans="1:14" x14ac:dyDescent="0.25">
      <c r="B44" s="48" t="s">
        <v>291</v>
      </c>
      <c r="C44" s="39">
        <v>295952</v>
      </c>
      <c r="D44" s="28">
        <v>42</v>
      </c>
      <c r="E44" s="39">
        <v>295952</v>
      </c>
      <c r="F44" s="28">
        <f t="shared" si="1"/>
        <v>268394.32</v>
      </c>
      <c r="G44" s="28">
        <f t="shared" si="2"/>
        <v>27557.679999999993</v>
      </c>
      <c r="H44" s="28">
        <v>29040.679999999997</v>
      </c>
      <c r="I44" s="28">
        <f t="shared" si="3"/>
        <v>297435</v>
      </c>
      <c r="J44" s="55">
        <f t="shared" si="4"/>
        <v>268394.32</v>
      </c>
      <c r="K44" s="55">
        <f t="shared" si="7"/>
        <v>27557.679999999993</v>
      </c>
      <c r="L44">
        <v>29040.679999999997</v>
      </c>
      <c r="M44" s="57">
        <f>J44+L44</f>
        <v>297435</v>
      </c>
      <c r="N44" s="70">
        <f t="shared" si="5"/>
        <v>-1483</v>
      </c>
    </row>
    <row r="45" spans="1:14" x14ac:dyDescent="0.25">
      <c r="B45" s="48" t="s">
        <v>292</v>
      </c>
      <c r="C45" s="39">
        <v>269979</v>
      </c>
      <c r="D45" s="28">
        <v>43</v>
      </c>
      <c r="E45" s="39">
        <v>269979</v>
      </c>
      <c r="F45" s="28">
        <f t="shared" si="1"/>
        <v>268830.78000000003</v>
      </c>
      <c r="G45" s="28">
        <f t="shared" si="2"/>
        <v>1148.2199999999721</v>
      </c>
      <c r="H45" s="28">
        <v>-10060.637142857142</v>
      </c>
      <c r="I45" s="28">
        <f t="shared" si="3"/>
        <v>258770.1428571429</v>
      </c>
      <c r="J45" s="55">
        <f t="shared" si="4"/>
        <v>268830.78000000003</v>
      </c>
      <c r="K45" s="55">
        <f t="shared" si="7"/>
        <v>1148.2199999999721</v>
      </c>
      <c r="L45">
        <v>-10060.637142857142</v>
      </c>
      <c r="M45" s="57">
        <f>J45+L45</f>
        <v>258770.1428571429</v>
      </c>
      <c r="N45" s="70">
        <f t="shared" si="5"/>
        <v>11208.857142857101</v>
      </c>
    </row>
    <row r="46" spans="1:14" x14ac:dyDescent="0.25">
      <c r="B46" s="48" t="s">
        <v>293</v>
      </c>
      <c r="C46" s="39">
        <v>228286</v>
      </c>
      <c r="D46" s="28">
        <v>44</v>
      </c>
      <c r="E46" s="39">
        <v>228286</v>
      </c>
      <c r="F46" s="28">
        <f t="shared" si="1"/>
        <v>269267.24</v>
      </c>
      <c r="G46" s="28">
        <f t="shared" si="2"/>
        <v>-40981.239999999991</v>
      </c>
      <c r="H46" s="28">
        <v>-36283.954285714288</v>
      </c>
      <c r="I46" s="28">
        <f t="shared" si="3"/>
        <v>232983.28571428571</v>
      </c>
      <c r="J46" s="55">
        <f t="shared" si="4"/>
        <v>269267.24</v>
      </c>
      <c r="K46" s="55">
        <f t="shared" si="7"/>
        <v>-40981.239999999991</v>
      </c>
      <c r="L46">
        <v>-36283.954285714288</v>
      </c>
      <c r="M46" s="57">
        <f>J46+L46</f>
        <v>232983.28571428571</v>
      </c>
      <c r="N46" s="70">
        <f t="shared" si="5"/>
        <v>-4697.2857142857101</v>
      </c>
    </row>
    <row r="47" spans="1:14" x14ac:dyDescent="0.25">
      <c r="B47" s="48" t="s">
        <v>294</v>
      </c>
      <c r="C47" s="39">
        <v>313512</v>
      </c>
      <c r="D47" s="28">
        <v>45</v>
      </c>
      <c r="E47" s="39">
        <v>313512</v>
      </c>
      <c r="F47" s="28">
        <f t="shared" si="1"/>
        <v>269703.7</v>
      </c>
      <c r="G47" s="28">
        <f t="shared" si="2"/>
        <v>43808.299999999988</v>
      </c>
      <c r="H47" s="28">
        <v>35555.014285714286</v>
      </c>
      <c r="I47" s="28">
        <f t="shared" si="3"/>
        <v>305258.71428571432</v>
      </c>
      <c r="J47" s="55">
        <f t="shared" si="4"/>
        <v>269703.7</v>
      </c>
      <c r="K47" s="55">
        <f t="shared" si="7"/>
        <v>43808.299999999988</v>
      </c>
      <c r="L47">
        <v>35555.014285714286</v>
      </c>
      <c r="M47" s="57">
        <f>J47+L47</f>
        <v>305258.71428571432</v>
      </c>
      <c r="N47" s="70">
        <f t="shared" si="5"/>
        <v>8253.285714285681</v>
      </c>
    </row>
    <row r="48" spans="1:14" x14ac:dyDescent="0.25">
      <c r="B48" s="48" t="s">
        <v>295</v>
      </c>
      <c r="C48" s="39">
        <v>295946</v>
      </c>
      <c r="D48" s="28">
        <v>46</v>
      </c>
      <c r="E48" s="39">
        <v>295946</v>
      </c>
      <c r="F48" s="28">
        <f t="shared" si="1"/>
        <v>270140.15999999997</v>
      </c>
      <c r="G48" s="28">
        <f t="shared" si="2"/>
        <v>25805.840000000026</v>
      </c>
      <c r="H48" s="28">
        <v>8983.8400000000056</v>
      </c>
      <c r="I48" s="28">
        <f t="shared" si="3"/>
        <v>279124</v>
      </c>
      <c r="J48" s="55">
        <f t="shared" si="4"/>
        <v>270140.15999999997</v>
      </c>
      <c r="K48" s="55">
        <f t="shared" si="7"/>
        <v>25805.840000000026</v>
      </c>
      <c r="L48">
        <v>8983.8400000000056</v>
      </c>
      <c r="M48" s="57">
        <f>J48+L48</f>
        <v>279124</v>
      </c>
      <c r="N48" s="70">
        <f t="shared" si="5"/>
        <v>16822</v>
      </c>
    </row>
    <row r="49" spans="1:14" x14ac:dyDescent="0.25">
      <c r="B49" s="48" t="s">
        <v>296</v>
      </c>
      <c r="C49" s="39">
        <v>310511</v>
      </c>
      <c r="D49" s="28">
        <v>47</v>
      </c>
      <c r="E49" s="39">
        <v>310511</v>
      </c>
      <c r="F49" s="28">
        <f t="shared" si="1"/>
        <v>270576.62</v>
      </c>
      <c r="G49" s="28">
        <f t="shared" si="2"/>
        <v>39934.380000000005</v>
      </c>
      <c r="H49" s="28">
        <v>26513.522857142867</v>
      </c>
      <c r="I49" s="28">
        <f t="shared" si="3"/>
        <v>297090.14285714284</v>
      </c>
      <c r="J49" s="55">
        <f t="shared" si="4"/>
        <v>270576.62</v>
      </c>
      <c r="K49" s="55">
        <f t="shared" si="7"/>
        <v>39934.380000000005</v>
      </c>
      <c r="L49">
        <v>26513.522857142867</v>
      </c>
      <c r="M49" s="57">
        <f>J49+L49</f>
        <v>297090.14285714284</v>
      </c>
      <c r="N49" s="70">
        <f t="shared" si="5"/>
        <v>13420.857142857159</v>
      </c>
    </row>
    <row r="50" spans="1:14" x14ac:dyDescent="0.25">
      <c r="B50" s="48" t="s">
        <v>297</v>
      </c>
      <c r="C50" s="39">
        <v>248073</v>
      </c>
      <c r="D50" s="28">
        <v>48</v>
      </c>
      <c r="E50" s="39">
        <v>248073</v>
      </c>
      <c r="F50" s="28">
        <f t="shared" si="1"/>
        <v>271013.08</v>
      </c>
      <c r="G50" s="28">
        <f t="shared" si="2"/>
        <v>-22940.080000000016</v>
      </c>
      <c r="H50" s="28">
        <v>-24157.819999999996</v>
      </c>
      <c r="I50" s="28">
        <f t="shared" si="3"/>
        <v>246855.26</v>
      </c>
      <c r="J50" s="55">
        <f t="shared" si="4"/>
        <v>271013.08</v>
      </c>
      <c r="K50" s="55">
        <f t="shared" si="7"/>
        <v>-22940.080000000016</v>
      </c>
      <c r="L50">
        <v>-24157.819999999996</v>
      </c>
      <c r="M50" s="57">
        <f>J50+L50</f>
        <v>246855.26</v>
      </c>
      <c r="N50" s="70">
        <f t="shared" si="5"/>
        <v>1217.7399999999907</v>
      </c>
    </row>
    <row r="51" spans="1:14" x14ac:dyDescent="0.25">
      <c r="A51" s="48" t="s">
        <v>301</v>
      </c>
      <c r="B51" s="48" t="s">
        <v>286</v>
      </c>
      <c r="C51" s="39">
        <v>242987</v>
      </c>
      <c r="D51" s="28">
        <v>49</v>
      </c>
      <c r="E51" s="39">
        <v>242987</v>
      </c>
      <c r="F51" s="28">
        <f t="shared" si="1"/>
        <v>271449.53999999998</v>
      </c>
      <c r="G51" s="28">
        <f t="shared" si="2"/>
        <v>-28462.539999999979</v>
      </c>
      <c r="H51" s="28">
        <v>-28052.591428571432</v>
      </c>
      <c r="I51" s="28">
        <f t="shared" si="3"/>
        <v>243396.94857142854</v>
      </c>
      <c r="J51" s="55">
        <f t="shared" si="4"/>
        <v>271449.53999999998</v>
      </c>
      <c r="K51" s="55">
        <f t="shared" si="7"/>
        <v>-28462.539999999979</v>
      </c>
      <c r="L51">
        <v>-28052.591428571432</v>
      </c>
      <c r="M51" s="57">
        <f>J51+L51</f>
        <v>243396.94857142854</v>
      </c>
      <c r="N51" s="70">
        <f t="shared" si="5"/>
        <v>-409.94857142854016</v>
      </c>
    </row>
    <row r="52" spans="1:14" x14ac:dyDescent="0.25">
      <c r="B52" s="48" t="s">
        <v>287</v>
      </c>
      <c r="C52" s="39">
        <v>244650</v>
      </c>
      <c r="D52" s="28">
        <v>50</v>
      </c>
      <c r="E52" s="39">
        <v>244650</v>
      </c>
      <c r="F52" s="28">
        <f t="shared" si="1"/>
        <v>271886</v>
      </c>
      <c r="G52" s="28">
        <f t="shared" si="2"/>
        <v>-27236</v>
      </c>
      <c r="H52" s="28">
        <v>-25998.337142857141</v>
      </c>
      <c r="I52" s="28">
        <f t="shared" si="3"/>
        <v>245887.66285714286</v>
      </c>
      <c r="J52" s="55">
        <f t="shared" si="4"/>
        <v>271886</v>
      </c>
      <c r="K52" s="55">
        <f t="shared" si="7"/>
        <v>-27236</v>
      </c>
      <c r="L52">
        <v>-25998.337142857141</v>
      </c>
      <c r="M52" s="57">
        <f>J52+L52</f>
        <v>245887.66285714286</v>
      </c>
      <c r="N52" s="70">
        <f t="shared" si="5"/>
        <v>-1237.6628571428591</v>
      </c>
    </row>
    <row r="53" spans="1:14" x14ac:dyDescent="0.25">
      <c r="B53" s="48" t="s">
        <v>288</v>
      </c>
      <c r="C53" s="39">
        <v>293274</v>
      </c>
      <c r="D53" s="28">
        <v>51</v>
      </c>
      <c r="E53" s="39">
        <v>293274</v>
      </c>
      <c r="F53" s="28">
        <f t="shared" si="1"/>
        <v>272322.46000000002</v>
      </c>
      <c r="G53" s="28">
        <f t="shared" si="2"/>
        <v>20951.539999999979</v>
      </c>
      <c r="H53" s="28">
        <v>5151.6314285714261</v>
      </c>
      <c r="I53" s="28">
        <f t="shared" si="3"/>
        <v>277474.09142857144</v>
      </c>
      <c r="J53" s="55">
        <f t="shared" si="4"/>
        <v>272322.46000000002</v>
      </c>
      <c r="K53" s="55">
        <f t="shared" si="7"/>
        <v>20951.539999999979</v>
      </c>
      <c r="L53">
        <v>5151.6314285714261</v>
      </c>
      <c r="M53" s="57">
        <f>J53+L53</f>
        <v>277474.09142857144</v>
      </c>
      <c r="N53" s="70">
        <f t="shared" si="5"/>
        <v>15799.908571428561</v>
      </c>
    </row>
    <row r="54" spans="1:14" x14ac:dyDescent="0.25">
      <c r="B54" s="48" t="s">
        <v>289</v>
      </c>
      <c r="C54" s="39">
        <v>272165</v>
      </c>
      <c r="D54" s="28">
        <v>52</v>
      </c>
      <c r="E54" s="39">
        <v>272165</v>
      </c>
      <c r="F54" s="28">
        <f t="shared" si="1"/>
        <v>272758.92</v>
      </c>
      <c r="G54" s="28">
        <f t="shared" si="2"/>
        <v>-593.9199999999837</v>
      </c>
      <c r="H54" s="28">
        <v>-5286.8285714285739</v>
      </c>
      <c r="I54" s="28">
        <f t="shared" si="3"/>
        <v>267472.09142857138</v>
      </c>
      <c r="J54" s="55">
        <f t="shared" si="4"/>
        <v>272758.92</v>
      </c>
      <c r="K54" s="55">
        <f t="shared" si="7"/>
        <v>-593.9199999999837</v>
      </c>
      <c r="L54">
        <v>-5286.8285714285739</v>
      </c>
      <c r="M54" s="57">
        <f>J54+L54</f>
        <v>267472.09142857138</v>
      </c>
      <c r="N54" s="70">
        <f t="shared" si="5"/>
        <v>4692.9085714286193</v>
      </c>
    </row>
    <row r="55" spans="1:14" x14ac:dyDescent="0.25">
      <c r="B55" s="48" t="s">
        <v>290</v>
      </c>
      <c r="C55" s="39">
        <v>288142</v>
      </c>
      <c r="D55" s="28">
        <v>53</v>
      </c>
      <c r="E55" s="39">
        <v>288142</v>
      </c>
      <c r="F55" s="28">
        <f t="shared" si="1"/>
        <v>273195.38</v>
      </c>
      <c r="G55" s="28">
        <f t="shared" si="2"/>
        <v>14946.619999999995</v>
      </c>
      <c r="H55" s="28">
        <v>21144.997142857141</v>
      </c>
      <c r="I55" s="28">
        <f t="shared" si="3"/>
        <v>294340.37714285712</v>
      </c>
      <c r="J55" s="55">
        <f t="shared" si="4"/>
        <v>273195.38</v>
      </c>
      <c r="K55" s="55">
        <f t="shared" si="7"/>
        <v>14946.619999999995</v>
      </c>
      <c r="L55">
        <v>21144.997142857141</v>
      </c>
      <c r="M55" s="57">
        <f>J55+L55</f>
        <v>294340.37714285712</v>
      </c>
      <c r="N55" s="70">
        <f t="shared" si="5"/>
        <v>-6198.3771428571199</v>
      </c>
    </row>
    <row r="56" spans="1:14" x14ac:dyDescent="0.25">
      <c r="B56" s="48" t="s">
        <v>291</v>
      </c>
      <c r="C56" s="39">
        <v>308261</v>
      </c>
      <c r="D56" s="28">
        <v>54</v>
      </c>
      <c r="E56" s="39">
        <v>308261</v>
      </c>
      <c r="F56" s="28">
        <f t="shared" si="1"/>
        <v>273631.84000000003</v>
      </c>
      <c r="G56" s="28">
        <f t="shared" si="2"/>
        <v>34629.159999999974</v>
      </c>
      <c r="H56" s="28">
        <v>29040.679999999997</v>
      </c>
      <c r="I56" s="28">
        <f t="shared" si="3"/>
        <v>302672.52</v>
      </c>
      <c r="J56" s="55">
        <f t="shared" si="4"/>
        <v>273631.84000000003</v>
      </c>
      <c r="K56" s="55">
        <f t="shared" si="7"/>
        <v>34629.159999999974</v>
      </c>
      <c r="L56">
        <v>29040.679999999997</v>
      </c>
      <c r="M56" s="57">
        <f>J56+L56</f>
        <v>302672.52</v>
      </c>
      <c r="N56" s="70">
        <f t="shared" si="5"/>
        <v>5588.4799999999814</v>
      </c>
    </row>
    <row r="57" spans="1:14" x14ac:dyDescent="0.25">
      <c r="B57" s="48" t="s">
        <v>292</v>
      </c>
      <c r="C57" s="39">
        <v>271800</v>
      </c>
      <c r="D57" s="28">
        <v>55</v>
      </c>
      <c r="E57" s="39">
        <v>271800</v>
      </c>
      <c r="F57" s="28">
        <f t="shared" si="1"/>
        <v>274068.3</v>
      </c>
      <c r="G57" s="28">
        <f t="shared" si="2"/>
        <v>-2268.2999999999884</v>
      </c>
      <c r="H57" s="28">
        <v>-10060.637142857142</v>
      </c>
      <c r="I57" s="28">
        <f t="shared" si="3"/>
        <v>264007.66285714286</v>
      </c>
      <c r="J57" s="55">
        <f t="shared" si="4"/>
        <v>274068.3</v>
      </c>
      <c r="K57" s="55">
        <f t="shared" si="7"/>
        <v>-2268.2999999999884</v>
      </c>
      <c r="L57">
        <v>-10060.637142857142</v>
      </c>
      <c r="M57" s="57">
        <f>J57+L57</f>
        <v>264007.66285714286</v>
      </c>
      <c r="N57" s="70">
        <f t="shared" si="5"/>
        <v>7792.3371428571409</v>
      </c>
    </row>
    <row r="58" spans="1:14" x14ac:dyDescent="0.25">
      <c r="B58" s="48" t="s">
        <v>293</v>
      </c>
      <c r="C58" s="39">
        <v>228447</v>
      </c>
      <c r="D58" s="28">
        <v>56</v>
      </c>
      <c r="E58" s="39">
        <v>228447</v>
      </c>
      <c r="F58" s="28">
        <f t="shared" si="1"/>
        <v>274504.76</v>
      </c>
      <c r="G58" s="28">
        <f t="shared" si="2"/>
        <v>-46057.760000000009</v>
      </c>
      <c r="H58" s="28">
        <v>-36283.954285714288</v>
      </c>
      <c r="I58" s="28">
        <f t="shared" si="3"/>
        <v>238220.80571428573</v>
      </c>
      <c r="J58" s="55">
        <f t="shared" si="4"/>
        <v>274504.76</v>
      </c>
      <c r="K58" s="55">
        <f t="shared" si="7"/>
        <v>-46057.760000000009</v>
      </c>
      <c r="L58">
        <v>-36283.954285714288</v>
      </c>
      <c r="M58" s="57">
        <f>J58+L58</f>
        <v>238220.80571428573</v>
      </c>
      <c r="N58" s="70">
        <f t="shared" si="5"/>
        <v>-9773.8057142857288</v>
      </c>
    </row>
    <row r="59" spans="1:14" x14ac:dyDescent="0.25">
      <c r="B59" s="48" t="s">
        <v>294</v>
      </c>
      <c r="C59" s="39">
        <v>310079</v>
      </c>
      <c r="D59" s="28">
        <v>57</v>
      </c>
      <c r="E59" s="39">
        <v>310079</v>
      </c>
      <c r="F59" s="28">
        <f t="shared" si="1"/>
        <v>274941.21999999997</v>
      </c>
      <c r="G59" s="28">
        <f t="shared" si="2"/>
        <v>35137.780000000028</v>
      </c>
      <c r="H59" s="28">
        <v>35555.014285714286</v>
      </c>
      <c r="I59" s="28">
        <f t="shared" si="3"/>
        <v>310496.23428571428</v>
      </c>
      <c r="J59" s="55">
        <f t="shared" si="4"/>
        <v>274941.21999999997</v>
      </c>
      <c r="K59" s="55">
        <f t="shared" si="7"/>
        <v>35137.780000000028</v>
      </c>
      <c r="L59">
        <v>35555.014285714286</v>
      </c>
      <c r="M59" s="57">
        <f>J59+L59</f>
        <v>310496.23428571428</v>
      </c>
      <c r="N59" s="70">
        <f t="shared" si="5"/>
        <v>-417.23428571427939</v>
      </c>
    </row>
    <row r="60" spans="1:14" x14ac:dyDescent="0.25">
      <c r="B60" s="48" t="s">
        <v>295</v>
      </c>
      <c r="C60" s="39">
        <v>291771</v>
      </c>
      <c r="D60" s="28">
        <v>58</v>
      </c>
      <c r="E60" s="39">
        <v>291771</v>
      </c>
      <c r="F60" s="28">
        <f t="shared" si="1"/>
        <v>275377.68</v>
      </c>
      <c r="G60" s="28">
        <f t="shared" si="2"/>
        <v>16393.320000000007</v>
      </c>
      <c r="H60" s="28">
        <v>8983.8400000000056</v>
      </c>
      <c r="I60" s="28">
        <f t="shared" si="3"/>
        <v>284361.52</v>
      </c>
      <c r="J60" s="55">
        <f t="shared" si="4"/>
        <v>275377.68</v>
      </c>
      <c r="K60" s="55">
        <f t="shared" si="7"/>
        <v>16393.320000000007</v>
      </c>
      <c r="L60">
        <v>8983.8400000000056</v>
      </c>
      <c r="M60" s="57">
        <f>J60+L60</f>
        <v>284361.52</v>
      </c>
      <c r="N60" s="70">
        <f t="shared" si="5"/>
        <v>7409.4799999999814</v>
      </c>
    </row>
    <row r="61" spans="1:14" x14ac:dyDescent="0.25">
      <c r="B61" s="48" t="s">
        <v>296</v>
      </c>
      <c r="C61" s="39">
        <v>293675</v>
      </c>
      <c r="D61" s="28">
        <v>59</v>
      </c>
      <c r="E61" s="39">
        <v>293675</v>
      </c>
      <c r="F61" s="28">
        <f t="shared" si="1"/>
        <v>275814.14</v>
      </c>
      <c r="G61" s="28">
        <f t="shared" si="2"/>
        <v>17860.859999999986</v>
      </c>
      <c r="H61" s="28">
        <v>26513.522857142867</v>
      </c>
      <c r="I61" s="28">
        <f t="shared" si="3"/>
        <v>302327.66285714286</v>
      </c>
      <c r="J61" s="55">
        <f t="shared" si="4"/>
        <v>275814.14</v>
      </c>
      <c r="K61" s="55">
        <f t="shared" si="7"/>
        <v>17860.859999999986</v>
      </c>
      <c r="L61">
        <v>26513.522857142867</v>
      </c>
      <c r="M61" s="57">
        <f>J61+L61</f>
        <v>302327.66285714286</v>
      </c>
      <c r="N61" s="70">
        <f t="shared" si="5"/>
        <v>-8652.6628571428591</v>
      </c>
    </row>
    <row r="62" spans="1:14" x14ac:dyDescent="0.25">
      <c r="B62" s="48" t="s">
        <v>297</v>
      </c>
      <c r="C62" s="39">
        <v>244029</v>
      </c>
      <c r="D62" s="28">
        <v>60</v>
      </c>
      <c r="E62" s="39">
        <v>244029</v>
      </c>
      <c r="F62" s="28">
        <f t="shared" si="1"/>
        <v>276250.59999999998</v>
      </c>
      <c r="G62" s="28">
        <f t="shared" si="2"/>
        <v>-32221.599999999977</v>
      </c>
      <c r="H62" s="28">
        <v>-24157.819999999996</v>
      </c>
      <c r="I62" s="28">
        <f t="shared" si="3"/>
        <v>252092.77999999997</v>
      </c>
      <c r="J62" s="55">
        <f t="shared" si="4"/>
        <v>276250.59999999998</v>
      </c>
      <c r="K62" s="55">
        <f t="shared" si="7"/>
        <v>-32221.599999999977</v>
      </c>
      <c r="L62">
        <v>-24157.819999999996</v>
      </c>
      <c r="M62" s="57">
        <f>J62+L62</f>
        <v>252092.77999999997</v>
      </c>
      <c r="N62" s="70">
        <f t="shared" si="5"/>
        <v>-8063.7799999999697</v>
      </c>
    </row>
    <row r="63" spans="1:14" x14ac:dyDescent="0.25">
      <c r="A63" s="48" t="s">
        <v>302</v>
      </c>
      <c r="B63" s="48" t="s">
        <v>286</v>
      </c>
      <c r="C63" s="39">
        <v>237597</v>
      </c>
      <c r="D63" s="28">
        <v>61</v>
      </c>
      <c r="E63" s="39">
        <v>237597</v>
      </c>
      <c r="F63" s="28">
        <f t="shared" si="1"/>
        <v>276687.06</v>
      </c>
      <c r="G63" s="28">
        <f t="shared" si="2"/>
        <v>-39090.06</v>
      </c>
      <c r="H63" s="28">
        <v>-28052.591428571432</v>
      </c>
      <c r="I63" s="28">
        <f t="shared" si="3"/>
        <v>248634.46857142856</v>
      </c>
      <c r="J63" s="55">
        <f t="shared" si="4"/>
        <v>276687.06</v>
      </c>
      <c r="K63" s="55">
        <f t="shared" si="7"/>
        <v>-39090.06</v>
      </c>
      <c r="L63">
        <v>-28052.591428571432</v>
      </c>
      <c r="M63" s="57">
        <f>J63+L63</f>
        <v>248634.46857142856</v>
      </c>
      <c r="N63" s="70">
        <f t="shared" si="5"/>
        <v>-11037.468571428559</v>
      </c>
    </row>
    <row r="64" spans="1:14" x14ac:dyDescent="0.25">
      <c r="B64" s="48" t="s">
        <v>287</v>
      </c>
      <c r="C64" s="39">
        <v>249407</v>
      </c>
      <c r="D64" s="28">
        <v>62</v>
      </c>
      <c r="E64" s="39">
        <v>249407</v>
      </c>
      <c r="F64" s="28">
        <f t="shared" si="1"/>
        <v>277123.52</v>
      </c>
      <c r="G64" s="28">
        <f t="shared" si="2"/>
        <v>-27716.520000000019</v>
      </c>
      <c r="H64" s="28">
        <v>-25998.337142857141</v>
      </c>
      <c r="I64" s="28">
        <f t="shared" si="3"/>
        <v>251125.18285714288</v>
      </c>
      <c r="J64" s="55">
        <f t="shared" si="4"/>
        <v>277123.52</v>
      </c>
      <c r="K64" s="55">
        <f t="shared" si="7"/>
        <v>-27716.520000000019</v>
      </c>
      <c r="L64">
        <v>-25998.337142857141</v>
      </c>
      <c r="M64" s="57">
        <f>J64+L64</f>
        <v>251125.18285714288</v>
      </c>
      <c r="N64" s="70">
        <f t="shared" si="5"/>
        <v>-1718.1828571428778</v>
      </c>
    </row>
    <row r="65" spans="1:14" x14ac:dyDescent="0.25">
      <c r="B65" s="48" t="s">
        <v>288</v>
      </c>
      <c r="C65" s="39">
        <v>264135</v>
      </c>
      <c r="D65" s="28">
        <v>63</v>
      </c>
      <c r="E65" s="39">
        <v>264135</v>
      </c>
      <c r="F65" s="28">
        <f t="shared" si="1"/>
        <v>277559.98</v>
      </c>
      <c r="G65" s="28">
        <f t="shared" si="2"/>
        <v>-13424.979999999981</v>
      </c>
      <c r="H65" s="28">
        <v>5151.6314285714261</v>
      </c>
      <c r="I65" s="28">
        <f t="shared" si="3"/>
        <v>282711.6114285714</v>
      </c>
      <c r="J65" s="55">
        <f t="shared" si="4"/>
        <v>277559.98</v>
      </c>
      <c r="K65" s="55">
        <f t="shared" si="7"/>
        <v>-13424.979999999981</v>
      </c>
      <c r="L65">
        <v>5151.6314285714261</v>
      </c>
      <c r="M65" s="57">
        <f>J65+L65</f>
        <v>282711.6114285714</v>
      </c>
      <c r="N65" s="70">
        <f t="shared" si="5"/>
        <v>-18576.611428571399</v>
      </c>
    </row>
    <row r="66" spans="1:14" x14ac:dyDescent="0.25">
      <c r="B66" s="48" t="s">
        <v>289</v>
      </c>
      <c r="C66" s="39">
        <v>288392</v>
      </c>
      <c r="D66" s="28">
        <v>64</v>
      </c>
      <c r="E66" s="39">
        <v>288392</v>
      </c>
      <c r="F66" s="28">
        <f t="shared" si="1"/>
        <v>277996.44</v>
      </c>
      <c r="G66" s="28">
        <f t="shared" si="2"/>
        <v>10395.559999999998</v>
      </c>
      <c r="H66" s="28">
        <v>-5286.8285714285739</v>
      </c>
      <c r="I66" s="28">
        <f t="shared" si="3"/>
        <v>272709.6114285714</v>
      </c>
      <c r="J66" s="55">
        <f t="shared" si="4"/>
        <v>277996.44</v>
      </c>
      <c r="K66" s="55">
        <f t="shared" si="7"/>
        <v>10395.559999999998</v>
      </c>
      <c r="L66">
        <v>-5286.8285714285739</v>
      </c>
      <c r="M66" s="57">
        <f>J66+L66</f>
        <v>272709.6114285714</v>
      </c>
      <c r="N66" s="70">
        <f t="shared" si="5"/>
        <v>15682.388571428601</v>
      </c>
    </row>
    <row r="67" spans="1:14" x14ac:dyDescent="0.25">
      <c r="B67" s="48" t="s">
        <v>290</v>
      </c>
      <c r="C67" s="39">
        <v>277633</v>
      </c>
      <c r="D67" s="28">
        <v>65</v>
      </c>
      <c r="E67" s="39">
        <v>277633</v>
      </c>
      <c r="F67" s="28">
        <f t="shared" si="1"/>
        <v>278432.90000000002</v>
      </c>
      <c r="G67" s="28">
        <f t="shared" si="2"/>
        <v>-799.90000000002328</v>
      </c>
      <c r="H67" s="28">
        <v>21144.997142857141</v>
      </c>
      <c r="I67" s="28">
        <f t="shared" si="3"/>
        <v>299577.89714285714</v>
      </c>
      <c r="J67" s="55">
        <f t="shared" si="4"/>
        <v>278432.90000000002</v>
      </c>
      <c r="K67" s="55">
        <f t="shared" ref="K67:K98" si="8">C67-J67</f>
        <v>-799.90000000002328</v>
      </c>
      <c r="L67">
        <v>21144.997142857141</v>
      </c>
      <c r="M67" s="57">
        <f>J67+L67</f>
        <v>299577.89714285714</v>
      </c>
      <c r="N67" s="70">
        <f t="shared" si="5"/>
        <v>-21944.897142857139</v>
      </c>
    </row>
    <row r="68" spans="1:14" x14ac:dyDescent="0.25">
      <c r="B68" s="48" t="s">
        <v>291</v>
      </c>
      <c r="C68" s="39">
        <v>329006</v>
      </c>
      <c r="D68" s="28">
        <v>66</v>
      </c>
      <c r="E68" s="39">
        <v>329006</v>
      </c>
      <c r="F68" s="28">
        <f t="shared" ref="F68:F85" si="9">436.46*D68+250063</f>
        <v>278869.36</v>
      </c>
      <c r="G68" s="28">
        <f t="shared" ref="G68:G85" si="10">E68-F68</f>
        <v>50136.640000000014</v>
      </c>
      <c r="H68" s="28">
        <v>29040.679999999997</v>
      </c>
      <c r="I68" s="28">
        <f t="shared" ref="I68:I85" si="11">F68+H68</f>
        <v>307910.03999999998</v>
      </c>
      <c r="J68" s="55">
        <f t="shared" ref="J68:J85" si="12">436.46*D68+250063</f>
        <v>278869.36</v>
      </c>
      <c r="K68" s="55">
        <f t="shared" si="8"/>
        <v>50136.640000000014</v>
      </c>
      <c r="L68">
        <v>29040.679999999997</v>
      </c>
      <c r="M68" s="57">
        <f>J68+L68</f>
        <v>307910.03999999998</v>
      </c>
      <c r="N68" s="70">
        <f t="shared" ref="N68:N85" si="13">C68-M68</f>
        <v>21095.960000000021</v>
      </c>
    </row>
    <row r="69" spans="1:14" x14ac:dyDescent="0.25">
      <c r="B69" s="48" t="s">
        <v>292</v>
      </c>
      <c r="C69" s="39">
        <v>276065</v>
      </c>
      <c r="D69" s="28">
        <v>67</v>
      </c>
      <c r="E69" s="39">
        <v>276065</v>
      </c>
      <c r="F69" s="28">
        <f t="shared" si="9"/>
        <v>279305.82</v>
      </c>
      <c r="G69" s="28">
        <f t="shared" si="10"/>
        <v>-3240.820000000007</v>
      </c>
      <c r="H69" s="28">
        <v>-10060.637142857142</v>
      </c>
      <c r="I69" s="28">
        <f t="shared" si="11"/>
        <v>269245.18285714288</v>
      </c>
      <c r="J69" s="55">
        <f t="shared" si="12"/>
        <v>279305.82</v>
      </c>
      <c r="K69" s="55">
        <f t="shared" si="8"/>
        <v>-3240.820000000007</v>
      </c>
      <c r="L69">
        <v>-10060.637142857142</v>
      </c>
      <c r="M69" s="57">
        <f>J69+L69</f>
        <v>269245.18285714288</v>
      </c>
      <c r="N69" s="70">
        <f t="shared" si="13"/>
        <v>6819.8171428571222</v>
      </c>
    </row>
    <row r="70" spans="1:14" x14ac:dyDescent="0.25">
      <c r="B70" s="48" t="s">
        <v>293</v>
      </c>
      <c r="C70" s="39">
        <v>233824</v>
      </c>
      <c r="D70" s="28">
        <v>68</v>
      </c>
      <c r="E70" s="39">
        <v>233824</v>
      </c>
      <c r="F70" s="28">
        <f t="shared" si="9"/>
        <v>279742.28000000003</v>
      </c>
      <c r="G70" s="28">
        <f t="shared" si="10"/>
        <v>-45918.280000000028</v>
      </c>
      <c r="H70" s="28">
        <v>-36283.954285714288</v>
      </c>
      <c r="I70" s="28">
        <f t="shared" si="11"/>
        <v>243458.32571428575</v>
      </c>
      <c r="J70" s="55">
        <f t="shared" si="12"/>
        <v>279742.28000000003</v>
      </c>
      <c r="K70" s="55">
        <f t="shared" si="8"/>
        <v>-45918.280000000028</v>
      </c>
      <c r="L70">
        <v>-36283.954285714288</v>
      </c>
      <c r="M70" s="57">
        <f>J70+L70</f>
        <v>243458.32571428575</v>
      </c>
      <c r="N70" s="70">
        <f t="shared" si="13"/>
        <v>-9634.3257142857474</v>
      </c>
    </row>
    <row r="71" spans="1:14" x14ac:dyDescent="0.25">
      <c r="B71" s="48" t="s">
        <v>294</v>
      </c>
      <c r="C71" s="39">
        <v>321957</v>
      </c>
      <c r="D71" s="28">
        <v>69</v>
      </c>
      <c r="E71" s="39">
        <v>321957</v>
      </c>
      <c r="F71" s="28">
        <f t="shared" si="9"/>
        <v>280178.74</v>
      </c>
      <c r="G71" s="28">
        <f t="shared" si="10"/>
        <v>41778.260000000009</v>
      </c>
      <c r="H71" s="28">
        <v>35555.014285714286</v>
      </c>
      <c r="I71" s="28">
        <f t="shared" si="11"/>
        <v>315733.7542857143</v>
      </c>
      <c r="J71" s="55">
        <f t="shared" si="12"/>
        <v>280178.74</v>
      </c>
      <c r="K71" s="55">
        <f t="shared" si="8"/>
        <v>41778.260000000009</v>
      </c>
      <c r="L71">
        <v>35555.014285714286</v>
      </c>
      <c r="M71" s="57">
        <f>J71+L71</f>
        <v>315733.7542857143</v>
      </c>
      <c r="N71" s="70">
        <f t="shared" si="13"/>
        <v>6223.245714285702</v>
      </c>
    </row>
    <row r="72" spans="1:14" x14ac:dyDescent="0.25">
      <c r="B72" s="48" t="s">
        <v>295</v>
      </c>
      <c r="C72" s="39">
        <v>276178</v>
      </c>
      <c r="D72" s="28">
        <v>70</v>
      </c>
      <c r="E72" s="39">
        <v>276178</v>
      </c>
      <c r="F72" s="28">
        <f t="shared" si="9"/>
        <v>280615.2</v>
      </c>
      <c r="G72" s="28">
        <f t="shared" si="10"/>
        <v>-4437.2000000000116</v>
      </c>
      <c r="H72" s="28">
        <v>8983.8400000000056</v>
      </c>
      <c r="I72" s="28">
        <f t="shared" si="11"/>
        <v>289599.04000000004</v>
      </c>
      <c r="J72" s="55">
        <f t="shared" si="12"/>
        <v>280615.2</v>
      </c>
      <c r="K72" s="55">
        <f t="shared" si="8"/>
        <v>-4437.2000000000116</v>
      </c>
      <c r="L72">
        <v>8983.8400000000056</v>
      </c>
      <c r="M72" s="57">
        <f>J72+L72</f>
        <v>289599.04000000004</v>
      </c>
      <c r="N72" s="70">
        <f t="shared" si="13"/>
        <v>-13421.040000000037</v>
      </c>
    </row>
    <row r="73" spans="1:14" x14ac:dyDescent="0.25">
      <c r="B73" s="48" t="s">
        <v>296</v>
      </c>
      <c r="C73" s="39">
        <v>315904</v>
      </c>
      <c r="D73" s="28">
        <v>71</v>
      </c>
      <c r="E73" s="39">
        <v>315904</v>
      </c>
      <c r="F73" s="28">
        <f t="shared" si="9"/>
        <v>281051.65999999997</v>
      </c>
      <c r="G73" s="28">
        <f t="shared" si="10"/>
        <v>34852.340000000026</v>
      </c>
      <c r="H73" s="28">
        <v>26513.522857142867</v>
      </c>
      <c r="I73" s="28">
        <f t="shared" si="11"/>
        <v>307565.18285714282</v>
      </c>
      <c r="J73" s="55">
        <f t="shared" si="12"/>
        <v>281051.65999999997</v>
      </c>
      <c r="K73" s="55">
        <f t="shared" si="8"/>
        <v>34852.340000000026</v>
      </c>
      <c r="L73">
        <v>26513.522857142867</v>
      </c>
      <c r="M73" s="57">
        <f>J73+L73</f>
        <v>307565.18285714282</v>
      </c>
      <c r="N73" s="70">
        <f t="shared" si="13"/>
        <v>8338.8171428571804</v>
      </c>
    </row>
    <row r="74" spans="1:14" x14ac:dyDescent="0.25">
      <c r="B74" s="48" t="s">
        <v>297</v>
      </c>
      <c r="C74" s="39">
        <v>260283</v>
      </c>
      <c r="D74" s="28">
        <v>72</v>
      </c>
      <c r="E74" s="39">
        <v>260283</v>
      </c>
      <c r="F74" s="28">
        <f t="shared" si="9"/>
        <v>281488.12</v>
      </c>
      <c r="G74" s="28">
        <f t="shared" si="10"/>
        <v>-21205.119999999995</v>
      </c>
      <c r="H74" s="28">
        <v>-24157.819999999996</v>
      </c>
      <c r="I74" s="28">
        <f t="shared" si="11"/>
        <v>257330.3</v>
      </c>
      <c r="J74" s="55">
        <f t="shared" si="12"/>
        <v>281488.12</v>
      </c>
      <c r="K74" s="55">
        <f t="shared" si="8"/>
        <v>-21205.119999999995</v>
      </c>
      <c r="L74">
        <v>-24157.819999999996</v>
      </c>
      <c r="M74" s="57">
        <f>J74+L74</f>
        <v>257330.3</v>
      </c>
      <c r="N74" s="70">
        <f t="shared" si="13"/>
        <v>2952.7000000000116</v>
      </c>
    </row>
    <row r="75" spans="1:14" x14ac:dyDescent="0.25">
      <c r="A75" s="48" t="s">
        <v>303</v>
      </c>
      <c r="B75" s="48" t="s">
        <v>286</v>
      </c>
      <c r="C75" s="39">
        <v>252196</v>
      </c>
      <c r="D75" s="28">
        <v>73</v>
      </c>
      <c r="E75" s="39">
        <v>252196</v>
      </c>
      <c r="F75" s="28">
        <f t="shared" si="9"/>
        <v>281924.58</v>
      </c>
      <c r="G75" s="28">
        <f t="shared" si="10"/>
        <v>-29728.580000000016</v>
      </c>
      <c r="H75" s="28">
        <v>-28052.591428571432</v>
      </c>
      <c r="I75" s="28">
        <f t="shared" si="11"/>
        <v>253871.98857142858</v>
      </c>
      <c r="J75" s="55">
        <f t="shared" si="12"/>
        <v>281924.58</v>
      </c>
      <c r="K75" s="55">
        <f t="shared" si="8"/>
        <v>-29728.580000000016</v>
      </c>
      <c r="L75">
        <v>-28052.591428571432</v>
      </c>
      <c r="M75" s="57">
        <f>J75+L75</f>
        <v>253871.98857142858</v>
      </c>
      <c r="N75" s="70">
        <f t="shared" si="13"/>
        <v>-1675.9885714285774</v>
      </c>
    </row>
    <row r="76" spans="1:14" x14ac:dyDescent="0.25">
      <c r="B76" s="48" t="s">
        <v>287</v>
      </c>
      <c r="C76" s="39">
        <v>243325</v>
      </c>
      <c r="D76" s="28">
        <v>74</v>
      </c>
      <c r="E76" s="39">
        <v>243325</v>
      </c>
      <c r="F76" s="28">
        <f t="shared" si="9"/>
        <v>282361.03999999998</v>
      </c>
      <c r="G76" s="28">
        <f t="shared" si="10"/>
        <v>-39036.039999999979</v>
      </c>
      <c r="H76" s="28">
        <v>-25998.337142857141</v>
      </c>
      <c r="I76" s="28">
        <f t="shared" si="11"/>
        <v>256362.70285714284</v>
      </c>
      <c r="J76" s="55">
        <f t="shared" si="12"/>
        <v>282361.03999999998</v>
      </c>
      <c r="K76" s="55">
        <f t="shared" si="8"/>
        <v>-39036.039999999979</v>
      </c>
      <c r="L76">
        <v>-25998.337142857141</v>
      </c>
      <c r="M76" s="57">
        <f>J76+L76</f>
        <v>256362.70285714284</v>
      </c>
      <c r="N76" s="70">
        <f t="shared" si="13"/>
        <v>-13037.702857142838</v>
      </c>
    </row>
    <row r="77" spans="1:14" x14ac:dyDescent="0.25">
      <c r="B77" s="48" t="s">
        <v>288</v>
      </c>
      <c r="C77" s="39">
        <v>269458</v>
      </c>
      <c r="D77" s="28">
        <v>75</v>
      </c>
      <c r="E77" s="39">
        <v>269458</v>
      </c>
      <c r="F77" s="28">
        <f t="shared" si="9"/>
        <v>282797.5</v>
      </c>
      <c r="G77" s="28">
        <f t="shared" si="10"/>
        <v>-13339.5</v>
      </c>
      <c r="H77" s="28">
        <v>5151.6314285714261</v>
      </c>
      <c r="I77" s="28">
        <f t="shared" si="11"/>
        <v>287949.13142857142</v>
      </c>
      <c r="J77" s="55">
        <f t="shared" si="12"/>
        <v>282797.5</v>
      </c>
      <c r="K77" s="55">
        <f t="shared" si="8"/>
        <v>-13339.5</v>
      </c>
      <c r="L77">
        <v>5151.6314285714261</v>
      </c>
      <c r="M77" s="57">
        <f>J77+L77</f>
        <v>287949.13142857142</v>
      </c>
      <c r="N77" s="70">
        <f t="shared" si="13"/>
        <v>-18491.131428571418</v>
      </c>
    </row>
    <row r="78" spans="1:14" x14ac:dyDescent="0.25">
      <c r="B78" s="48" t="s">
        <v>289</v>
      </c>
      <c r="C78" s="39">
        <v>270076</v>
      </c>
      <c r="D78" s="28">
        <v>76</v>
      </c>
      <c r="E78" s="39">
        <v>270076</v>
      </c>
      <c r="F78" s="28">
        <f t="shared" si="9"/>
        <v>283233.96000000002</v>
      </c>
      <c r="G78" s="28">
        <f t="shared" si="10"/>
        <v>-13157.960000000021</v>
      </c>
      <c r="H78" s="28">
        <v>-5286.8285714285739</v>
      </c>
      <c r="I78" s="28">
        <f t="shared" si="11"/>
        <v>277947.13142857142</v>
      </c>
      <c r="J78" s="55">
        <f t="shared" si="12"/>
        <v>283233.96000000002</v>
      </c>
      <c r="K78" s="55">
        <f t="shared" si="8"/>
        <v>-13157.960000000021</v>
      </c>
      <c r="L78">
        <v>-5286.8285714285739</v>
      </c>
      <c r="M78" s="57">
        <f>J78+L78</f>
        <v>277947.13142857142</v>
      </c>
      <c r="N78" s="70">
        <f t="shared" si="13"/>
        <v>-7871.1314285714179</v>
      </c>
    </row>
    <row r="79" spans="1:14" x14ac:dyDescent="0.25">
      <c r="B79" s="48" t="s">
        <v>290</v>
      </c>
      <c r="C79" s="39">
        <v>331932</v>
      </c>
      <c r="D79" s="28">
        <v>77</v>
      </c>
      <c r="E79" s="39">
        <v>331932</v>
      </c>
      <c r="F79" s="28">
        <f t="shared" si="9"/>
        <v>283670.42</v>
      </c>
      <c r="G79" s="28">
        <f t="shared" si="10"/>
        <v>48261.580000000016</v>
      </c>
      <c r="H79" s="28">
        <v>21144.997142857141</v>
      </c>
      <c r="I79" s="28">
        <f t="shared" si="11"/>
        <v>304815.4171428571</v>
      </c>
      <c r="J79" s="55">
        <f t="shared" si="12"/>
        <v>283670.42</v>
      </c>
      <c r="K79" s="55">
        <f t="shared" si="8"/>
        <v>48261.580000000016</v>
      </c>
      <c r="L79">
        <v>21144.997142857141</v>
      </c>
      <c r="M79" s="57">
        <f>J79+L79</f>
        <v>304815.4171428571</v>
      </c>
      <c r="N79" s="70">
        <f t="shared" si="13"/>
        <v>27116.582857142901</v>
      </c>
    </row>
    <row r="80" spans="1:14" x14ac:dyDescent="0.25">
      <c r="B80" s="48" t="s">
        <v>291</v>
      </c>
      <c r="C80" s="39">
        <v>318747</v>
      </c>
      <c r="D80" s="28">
        <v>78</v>
      </c>
      <c r="E80" s="39">
        <v>318747</v>
      </c>
      <c r="F80" s="28">
        <f t="shared" si="9"/>
        <v>284106.88</v>
      </c>
      <c r="G80" s="28">
        <f t="shared" si="10"/>
        <v>34640.119999999995</v>
      </c>
      <c r="H80" s="28">
        <v>29040.679999999997</v>
      </c>
      <c r="I80" s="28">
        <f t="shared" si="11"/>
        <v>313147.56</v>
      </c>
      <c r="J80" s="55">
        <f t="shared" si="12"/>
        <v>284106.88</v>
      </c>
      <c r="K80" s="55">
        <f t="shared" si="8"/>
        <v>34640.119999999995</v>
      </c>
      <c r="L80">
        <v>29040.679999999997</v>
      </c>
      <c r="M80" s="57">
        <f>J80+L80</f>
        <v>313147.56</v>
      </c>
      <c r="N80" s="70">
        <f t="shared" si="13"/>
        <v>5599.4400000000023</v>
      </c>
    </row>
    <row r="81" spans="2:14" x14ac:dyDescent="0.25">
      <c r="B81" s="48" t="s">
        <v>292</v>
      </c>
      <c r="C81" s="39">
        <v>293590</v>
      </c>
      <c r="D81" s="28">
        <v>79</v>
      </c>
      <c r="E81" s="39">
        <v>293590</v>
      </c>
      <c r="F81" s="28">
        <f t="shared" si="9"/>
        <v>284543.33999999997</v>
      </c>
      <c r="G81" s="28">
        <f t="shared" si="10"/>
        <v>9046.6600000000326</v>
      </c>
      <c r="H81" s="28">
        <v>-10060.637142857142</v>
      </c>
      <c r="I81" s="28">
        <f t="shared" si="11"/>
        <v>274482.70285714284</v>
      </c>
      <c r="J81" s="55">
        <f t="shared" si="12"/>
        <v>284543.33999999997</v>
      </c>
      <c r="K81" s="55">
        <f t="shared" si="8"/>
        <v>9046.6600000000326</v>
      </c>
      <c r="L81">
        <v>-10060.637142857142</v>
      </c>
      <c r="M81" s="57">
        <f>J81+L81</f>
        <v>274482.70285714284</v>
      </c>
      <c r="N81" s="70">
        <f t="shared" si="13"/>
        <v>19107.297142857162</v>
      </c>
    </row>
    <row r="82" spans="2:14" x14ac:dyDescent="0.25">
      <c r="B82" s="48" t="s">
        <v>293</v>
      </c>
      <c r="C82" s="39">
        <v>241032</v>
      </c>
      <c r="D82" s="28">
        <v>80</v>
      </c>
      <c r="E82" s="39">
        <v>241032</v>
      </c>
      <c r="F82" s="28">
        <f t="shared" si="9"/>
        <v>284979.8</v>
      </c>
      <c r="G82" s="28">
        <f t="shared" si="10"/>
        <v>-43947.799999999988</v>
      </c>
      <c r="H82" s="28">
        <v>-36283.954285714288</v>
      </c>
      <c r="I82" s="28">
        <f t="shared" si="11"/>
        <v>248695.84571428571</v>
      </c>
      <c r="J82" s="55">
        <f t="shared" si="12"/>
        <v>284979.8</v>
      </c>
      <c r="K82" s="55">
        <f t="shared" si="8"/>
        <v>-43947.799999999988</v>
      </c>
      <c r="L82">
        <v>-36283.954285714288</v>
      </c>
      <c r="M82" s="57">
        <f>J82+L82</f>
        <v>248695.84571428571</v>
      </c>
      <c r="N82" s="70">
        <f t="shared" si="13"/>
        <v>-7663.8457142857078</v>
      </c>
    </row>
    <row r="83" spans="2:14" x14ac:dyDescent="0.25">
      <c r="B83" s="48" t="s">
        <v>294</v>
      </c>
      <c r="C83" s="39">
        <v>313661</v>
      </c>
      <c r="D83" s="28">
        <v>81</v>
      </c>
      <c r="E83" s="39">
        <v>313661</v>
      </c>
      <c r="F83" s="28">
        <f t="shared" si="9"/>
        <v>285416.26</v>
      </c>
      <c r="G83" s="28">
        <f t="shared" si="10"/>
        <v>28244.739999999991</v>
      </c>
      <c r="H83" s="28">
        <v>35555.014285714286</v>
      </c>
      <c r="I83" s="28">
        <f t="shared" si="11"/>
        <v>320971.27428571432</v>
      </c>
      <c r="J83" s="55">
        <f t="shared" si="12"/>
        <v>285416.26</v>
      </c>
      <c r="K83" s="55">
        <f t="shared" si="8"/>
        <v>28244.739999999991</v>
      </c>
      <c r="L83">
        <v>35555.014285714286</v>
      </c>
      <c r="M83" s="57">
        <f>J83+L83</f>
        <v>320971.27428571432</v>
      </c>
      <c r="N83" s="70">
        <f t="shared" si="13"/>
        <v>-7310.2742857143166</v>
      </c>
    </row>
    <row r="84" spans="2:14" x14ac:dyDescent="0.25">
      <c r="B84" s="48" t="s">
        <v>295</v>
      </c>
      <c r="C84" s="39">
        <v>264179</v>
      </c>
      <c r="D84" s="28">
        <v>82</v>
      </c>
      <c r="E84" s="39">
        <v>264179</v>
      </c>
      <c r="F84" s="28">
        <f t="shared" si="9"/>
        <v>285852.71999999997</v>
      </c>
      <c r="G84" s="28">
        <f t="shared" si="10"/>
        <v>-21673.719999999972</v>
      </c>
      <c r="H84" s="28">
        <v>8983.8400000000056</v>
      </c>
      <c r="I84" s="28">
        <f t="shared" si="11"/>
        <v>294836.56</v>
      </c>
      <c r="J84" s="55">
        <f t="shared" si="12"/>
        <v>285852.71999999997</v>
      </c>
      <c r="K84" s="55">
        <f t="shared" si="8"/>
        <v>-21673.719999999972</v>
      </c>
      <c r="L84">
        <v>8983.8400000000056</v>
      </c>
      <c r="M84" s="57">
        <f>J84+L84</f>
        <v>294836.56</v>
      </c>
      <c r="N84" s="70">
        <f t="shared" si="13"/>
        <v>-30657.559999999998</v>
      </c>
    </row>
    <row r="85" spans="2:14" x14ac:dyDescent="0.25">
      <c r="B85" s="48" t="s">
        <v>296</v>
      </c>
      <c r="C85" s="39">
        <v>250911</v>
      </c>
      <c r="D85" s="28">
        <v>83</v>
      </c>
      <c r="E85" s="39">
        <v>250911</v>
      </c>
      <c r="F85" s="28">
        <f t="shared" si="9"/>
        <v>286289.18</v>
      </c>
      <c r="G85" s="28">
        <f t="shared" si="10"/>
        <v>-35378.179999999993</v>
      </c>
      <c r="H85" s="28">
        <v>26513.522857142867</v>
      </c>
      <c r="I85" s="28">
        <f t="shared" si="11"/>
        <v>312802.70285714284</v>
      </c>
      <c r="J85" s="55">
        <f t="shared" si="12"/>
        <v>286289.18</v>
      </c>
      <c r="K85" s="55">
        <f t="shared" si="8"/>
        <v>-35378.179999999993</v>
      </c>
      <c r="L85">
        <v>26513.522857142867</v>
      </c>
      <c r="M85" s="57">
        <f>J85+L85</f>
        <v>312802.70285714284</v>
      </c>
      <c r="N85" s="70">
        <f t="shared" si="13"/>
        <v>-61891.702857142838</v>
      </c>
    </row>
    <row r="93" spans="2:14" x14ac:dyDescent="0.25">
      <c r="B93" s="48"/>
      <c r="L93" s="28"/>
    </row>
    <row r="94" spans="2:14" x14ac:dyDescent="0.25">
      <c r="B94" s="50"/>
      <c r="L94" s="28"/>
    </row>
    <row r="95" spans="2:14" x14ac:dyDescent="0.25">
      <c r="B95" s="50"/>
      <c r="L95" s="28"/>
    </row>
    <row r="96" spans="2:14" x14ac:dyDescent="0.25">
      <c r="L96" s="2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5</vt:i4>
      </vt:variant>
    </vt:vector>
  </HeadingPairs>
  <TitlesOfParts>
    <vt:vector size="12" baseType="lpstr">
      <vt:lpstr>Deutschland total</vt:lpstr>
      <vt:lpstr>Starts per Airport</vt:lpstr>
      <vt:lpstr>46421-0002</vt:lpstr>
      <vt:lpstr>Regression</vt:lpstr>
      <vt:lpstr>OFOD-Data</vt:lpstr>
      <vt:lpstr>Portfolio</vt:lpstr>
      <vt:lpstr>TimeSeriesAnalysis</vt:lpstr>
      <vt:lpstr>'46421-0002'!Print_Titles</vt:lpstr>
      <vt:lpstr>'Deutschland total'!Print_Titles</vt:lpstr>
      <vt:lpstr>Portfolio!Print_Titles</vt:lpstr>
      <vt:lpstr>'Starts per Airport'!Print_Titles</vt:lpstr>
      <vt:lpstr>TimeSeriesAnalysis!Print_Titles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mai van</cp:lastModifiedBy>
  <dcterms:created xsi:type="dcterms:W3CDTF">2018-01-21T21:19:00Z</dcterms:created>
  <dcterms:modified xsi:type="dcterms:W3CDTF">2019-02-08T14:58:55Z</dcterms:modified>
</cp:coreProperties>
</file>